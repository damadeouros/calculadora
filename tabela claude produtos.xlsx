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ANI\DAMA DE OUROS\"/>
    </mc:Choice>
  </mc:AlternateContent>
  <xr:revisionPtr revIDLastSave="0" documentId="13_ncr:1_{0D402AAF-F59A-48C7-B28F-16B3DDB3DE95}" xr6:coauthVersionLast="47" xr6:coauthVersionMax="47" xr10:uidLastSave="{00000000-0000-0000-0000-000000000000}"/>
  <bookViews>
    <workbookView xWindow="-120" yWindow="-120" windowWidth="29040" windowHeight="15720" xr2:uid="{DD95ACEB-CEF4-4E62-AC31-FA95F8C3AF84}"/>
  </bookViews>
  <sheets>
    <sheet name="Planilh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6" i="1" l="1"/>
  <c r="P176" i="1" s="1"/>
  <c r="N176" i="1" s="1"/>
  <c r="P180" i="1"/>
  <c r="O180" i="1" s="1"/>
  <c r="P179" i="1"/>
  <c r="O179" i="1" s="1"/>
  <c r="L179" i="1"/>
  <c r="K179" i="1"/>
  <c r="P178" i="1"/>
  <c r="O178" i="1" s="1"/>
  <c r="P177" i="1"/>
  <c r="O177" i="1" s="1"/>
  <c r="L177" i="1"/>
  <c r="K177" i="1"/>
  <c r="I180" i="1"/>
  <c r="H180" i="1"/>
  <c r="I179" i="1"/>
  <c r="H179" i="1"/>
  <c r="I175" i="1"/>
  <c r="H175" i="1"/>
  <c r="P175" i="1" s="1"/>
  <c r="I174" i="1"/>
  <c r="H174" i="1"/>
  <c r="P174" i="1" s="1"/>
  <c r="O174" i="1" s="1"/>
  <c r="I178" i="1"/>
  <c r="H178" i="1"/>
  <c r="I173" i="1"/>
  <c r="H173" i="1"/>
  <c r="P173" i="1" s="1"/>
  <c r="I172" i="1"/>
  <c r="H172" i="1"/>
  <c r="P172" i="1" s="1"/>
  <c r="O172" i="1" s="1"/>
  <c r="I177" i="1"/>
  <c r="H177" i="1"/>
  <c r="I171" i="1"/>
  <c r="H171" i="1"/>
  <c r="P171" i="1" s="1"/>
  <c r="I176" i="1"/>
  <c r="I170" i="1"/>
  <c r="H170" i="1"/>
  <c r="P170" i="1" s="1"/>
  <c r="O170" i="1" s="1"/>
  <c r="I169" i="1"/>
  <c r="H169" i="1"/>
  <c r="P169" i="1" s="1"/>
  <c r="I168" i="1"/>
  <c r="H168" i="1"/>
  <c r="P168" i="1" s="1"/>
  <c r="O168" i="1" s="1"/>
  <c r="I167" i="1"/>
  <c r="H167" i="1"/>
  <c r="P167" i="1" s="1"/>
  <c r="P161" i="1"/>
  <c r="N161" i="1" s="1"/>
  <c r="M161" i="1"/>
  <c r="P160" i="1"/>
  <c r="O160" i="1" s="1"/>
  <c r="P159" i="1"/>
  <c r="O159" i="1" s="1"/>
  <c r="P158" i="1"/>
  <c r="O158" i="1" s="1"/>
  <c r="P157" i="1"/>
  <c r="O157" i="1" s="1"/>
  <c r="P156" i="1"/>
  <c r="O156" i="1" s="1"/>
  <c r="I153" i="1"/>
  <c r="H153" i="1"/>
  <c r="P153" i="1" s="1"/>
  <c r="I152" i="1"/>
  <c r="H152" i="1"/>
  <c r="P152" i="1" s="1"/>
  <c r="I151" i="1"/>
  <c r="H151" i="1"/>
  <c r="P151" i="1" s="1"/>
  <c r="I150" i="1"/>
  <c r="H150" i="1"/>
  <c r="P150" i="1" s="1"/>
  <c r="I149" i="1"/>
  <c r="H149" i="1"/>
  <c r="P149" i="1" s="1"/>
  <c r="I148" i="1"/>
  <c r="H148" i="1"/>
  <c r="P148" i="1" s="1"/>
  <c r="I147" i="1"/>
  <c r="H147" i="1"/>
  <c r="P147" i="1" s="1"/>
  <c r="I146" i="1"/>
  <c r="H146" i="1"/>
  <c r="P146" i="1" s="1"/>
  <c r="I145" i="1"/>
  <c r="H145" i="1"/>
  <c r="P145" i="1" s="1"/>
  <c r="I144" i="1"/>
  <c r="H144" i="1"/>
  <c r="P144" i="1" s="1"/>
  <c r="I143" i="1"/>
  <c r="H143" i="1"/>
  <c r="P143" i="1" s="1"/>
  <c r="I142" i="1"/>
  <c r="H142" i="1"/>
  <c r="P142" i="1" s="1"/>
  <c r="I141" i="1"/>
  <c r="H141" i="1"/>
  <c r="P141" i="1" s="1"/>
  <c r="I140" i="1"/>
  <c r="H140" i="1"/>
  <c r="P140" i="1" s="1"/>
  <c r="I139" i="1"/>
  <c r="H139" i="1"/>
  <c r="P139" i="1" s="1"/>
  <c r="I138" i="1"/>
  <c r="H138" i="1"/>
  <c r="P138" i="1" s="1"/>
  <c r="I137" i="1"/>
  <c r="H137" i="1"/>
  <c r="P137" i="1" s="1"/>
  <c r="I136" i="1"/>
  <c r="H136" i="1"/>
  <c r="P136" i="1" s="1"/>
  <c r="I135" i="1"/>
  <c r="H135" i="1"/>
  <c r="P135" i="1" s="1"/>
  <c r="I134" i="1"/>
  <c r="H134" i="1"/>
  <c r="P134" i="1" s="1"/>
  <c r="I133" i="1"/>
  <c r="H133" i="1"/>
  <c r="P133" i="1" s="1"/>
  <c r="I132" i="1"/>
  <c r="H132" i="1"/>
  <c r="P132" i="1" s="1"/>
  <c r="O132" i="1" s="1"/>
  <c r="I129" i="1"/>
  <c r="H129" i="1"/>
  <c r="P129" i="1" s="1"/>
  <c r="I128" i="1"/>
  <c r="H128" i="1"/>
  <c r="P128" i="1" s="1"/>
  <c r="I127" i="1"/>
  <c r="H127" i="1"/>
  <c r="P127" i="1" s="1"/>
  <c r="I126" i="1"/>
  <c r="H126" i="1"/>
  <c r="P126" i="1" s="1"/>
  <c r="I125" i="1"/>
  <c r="H125" i="1"/>
  <c r="P125" i="1" s="1"/>
  <c r="I124" i="1"/>
  <c r="H124" i="1"/>
  <c r="P124" i="1" s="1"/>
  <c r="O124" i="1" s="1"/>
  <c r="I123" i="1"/>
  <c r="H123" i="1"/>
  <c r="P123" i="1" s="1"/>
  <c r="I122" i="1"/>
  <c r="H122" i="1"/>
  <c r="P122" i="1" s="1"/>
  <c r="I121" i="1"/>
  <c r="H121" i="1"/>
  <c r="P121" i="1" s="1"/>
  <c r="I120" i="1"/>
  <c r="H120" i="1"/>
  <c r="P120" i="1" s="1"/>
  <c r="I119" i="1"/>
  <c r="H119" i="1"/>
  <c r="P119" i="1" s="1"/>
  <c r="I118" i="1"/>
  <c r="H118" i="1"/>
  <c r="P118" i="1" s="1"/>
  <c r="O118" i="1" s="1"/>
  <c r="I117" i="1"/>
  <c r="H117" i="1"/>
  <c r="P117" i="1" s="1"/>
  <c r="I116" i="1"/>
  <c r="H116" i="1"/>
  <c r="P116" i="1" s="1"/>
  <c r="I109" i="1"/>
  <c r="H109" i="1"/>
  <c r="P109" i="1" s="1"/>
  <c r="I108" i="1"/>
  <c r="H108" i="1"/>
  <c r="P108" i="1" s="1"/>
  <c r="M108" i="1" s="1"/>
  <c r="I107" i="1"/>
  <c r="H107" i="1"/>
  <c r="P107" i="1" s="1"/>
  <c r="M107" i="1" s="1"/>
  <c r="I106" i="1"/>
  <c r="H106" i="1"/>
  <c r="P106" i="1" s="1"/>
  <c r="I105" i="1"/>
  <c r="H105" i="1"/>
  <c r="P105" i="1" s="1"/>
  <c r="M105" i="1" s="1"/>
  <c r="I104" i="1"/>
  <c r="H104" i="1"/>
  <c r="P104" i="1" s="1"/>
  <c r="M104" i="1" s="1"/>
  <c r="I103" i="1"/>
  <c r="H103" i="1"/>
  <c r="P103" i="1" s="1"/>
  <c r="I102" i="1"/>
  <c r="H102" i="1"/>
  <c r="P102" i="1" s="1"/>
  <c r="I101" i="1"/>
  <c r="H101" i="1"/>
  <c r="P101" i="1" s="1"/>
  <c r="I100" i="1"/>
  <c r="H100" i="1"/>
  <c r="P100" i="1" s="1"/>
  <c r="I99" i="1"/>
  <c r="H99" i="1"/>
  <c r="P99" i="1" s="1"/>
  <c r="M99" i="1" s="1"/>
  <c r="I98" i="1"/>
  <c r="H98" i="1"/>
  <c r="P98" i="1" s="1"/>
  <c r="M98" i="1" s="1"/>
  <c r="I95" i="1"/>
  <c r="H95" i="1"/>
  <c r="P95" i="1" s="1"/>
  <c r="I94" i="1"/>
  <c r="H94" i="1"/>
  <c r="P94" i="1" s="1"/>
  <c r="M94" i="1" s="1"/>
  <c r="I93" i="1"/>
  <c r="H93" i="1"/>
  <c r="P93" i="1" s="1"/>
  <c r="M93" i="1" s="1"/>
  <c r="I92" i="1"/>
  <c r="H92" i="1"/>
  <c r="P92" i="1" s="1"/>
  <c r="I89" i="1"/>
  <c r="H89" i="1"/>
  <c r="P89" i="1" s="1"/>
  <c r="I88" i="1"/>
  <c r="H88" i="1"/>
  <c r="P88" i="1" s="1"/>
  <c r="I85" i="1"/>
  <c r="H85" i="1"/>
  <c r="P85" i="1" s="1"/>
  <c r="I84" i="1"/>
  <c r="H84" i="1"/>
  <c r="P84" i="1" s="1"/>
  <c r="M84" i="1" s="1"/>
  <c r="I83" i="1"/>
  <c r="H83" i="1"/>
  <c r="P83" i="1" s="1"/>
  <c r="M83" i="1" s="1"/>
  <c r="I82" i="1"/>
  <c r="H82" i="1"/>
  <c r="P82" i="1" s="1"/>
  <c r="I81" i="1"/>
  <c r="H81" i="1"/>
  <c r="P81" i="1" s="1"/>
  <c r="M81" i="1" s="1"/>
  <c r="I77" i="1"/>
  <c r="H77" i="1"/>
  <c r="P77" i="1" s="1"/>
  <c r="M77" i="1" s="1"/>
  <c r="I76" i="1"/>
  <c r="H76" i="1"/>
  <c r="P76" i="1" s="1"/>
  <c r="I75" i="1"/>
  <c r="H75" i="1"/>
  <c r="P75" i="1" s="1"/>
  <c r="I74" i="1"/>
  <c r="H74" i="1"/>
  <c r="P74" i="1" s="1"/>
  <c r="I73" i="1"/>
  <c r="H73" i="1"/>
  <c r="P73" i="1" s="1"/>
  <c r="I72" i="1"/>
  <c r="H72" i="1"/>
  <c r="P72" i="1" s="1"/>
  <c r="M72" i="1" s="1"/>
  <c r="I71" i="1"/>
  <c r="H71" i="1"/>
  <c r="P71" i="1" s="1"/>
  <c r="M71" i="1" s="1"/>
  <c r="I70" i="1"/>
  <c r="H70" i="1"/>
  <c r="P70" i="1" s="1"/>
  <c r="P69" i="1"/>
  <c r="L69" i="1" s="1"/>
  <c r="N69" i="1"/>
  <c r="K69" i="1"/>
  <c r="I69" i="1"/>
  <c r="I63" i="1"/>
  <c r="H63" i="1"/>
  <c r="P63" i="1" s="1"/>
  <c r="L63" i="1" s="1"/>
  <c r="I62" i="1"/>
  <c r="H62" i="1"/>
  <c r="P62" i="1" s="1"/>
  <c r="I59" i="1"/>
  <c r="H59" i="1"/>
  <c r="P59" i="1" s="1"/>
  <c r="I58" i="1"/>
  <c r="H58" i="1"/>
  <c r="P58" i="1" s="1"/>
  <c r="I48" i="1"/>
  <c r="H48" i="1"/>
  <c r="P48" i="1" s="1"/>
  <c r="L48" i="1" s="1"/>
  <c r="I47" i="1"/>
  <c r="H47" i="1"/>
  <c r="P47" i="1" s="1"/>
  <c r="I44" i="1"/>
  <c r="H44" i="1"/>
  <c r="P44" i="1" s="1"/>
  <c r="N44" i="1" s="1"/>
  <c r="I43" i="1"/>
  <c r="H43" i="1"/>
  <c r="P43" i="1" s="1"/>
  <c r="I42" i="1"/>
  <c r="H42" i="1"/>
  <c r="P42" i="1" s="1"/>
  <c r="L42" i="1" s="1"/>
  <c r="I41" i="1"/>
  <c r="H41" i="1"/>
  <c r="P41" i="1" s="1"/>
  <c r="I40" i="1"/>
  <c r="H40" i="1"/>
  <c r="P40" i="1" s="1"/>
  <c r="O40" i="1" s="1"/>
  <c r="I39" i="1"/>
  <c r="H39" i="1"/>
  <c r="P39" i="1" s="1"/>
  <c r="I38" i="1"/>
  <c r="H38" i="1"/>
  <c r="P38" i="1" s="1"/>
  <c r="K38" i="1" s="1"/>
  <c r="I37" i="1"/>
  <c r="H37" i="1"/>
  <c r="P37" i="1" s="1"/>
  <c r="I36" i="1"/>
  <c r="H36" i="1"/>
  <c r="P36" i="1" s="1"/>
  <c r="O36" i="1" s="1"/>
  <c r="I33" i="1"/>
  <c r="H33" i="1"/>
  <c r="P33" i="1" s="1"/>
  <c r="I32" i="1"/>
  <c r="H32" i="1"/>
  <c r="P32" i="1" s="1"/>
  <c r="L32" i="1" s="1"/>
  <c r="I31" i="1"/>
  <c r="H31" i="1"/>
  <c r="P31" i="1" s="1"/>
  <c r="P28" i="1"/>
  <c r="M28" i="1" s="1"/>
  <c r="N28" i="1"/>
  <c r="K28" i="1"/>
  <c r="P27" i="1"/>
  <c r="K27" i="1" s="1"/>
  <c r="P26" i="1"/>
  <c r="H25" i="1"/>
  <c r="I22" i="1"/>
  <c r="H22" i="1"/>
  <c r="P22" i="1" s="1"/>
  <c r="I21" i="1"/>
  <c r="H21" i="1"/>
  <c r="P21" i="1" s="1"/>
  <c r="I18" i="1"/>
  <c r="H18" i="1"/>
  <c r="P18" i="1" s="1"/>
  <c r="I17" i="1"/>
  <c r="H17" i="1"/>
  <c r="P17" i="1" s="1"/>
  <c r="I16" i="1"/>
  <c r="H16" i="1"/>
  <c r="P16" i="1" s="1"/>
  <c r="I15" i="1"/>
  <c r="H15" i="1"/>
  <c r="P15" i="1" s="1"/>
  <c r="I14" i="1"/>
  <c r="H14" i="1"/>
  <c r="P14" i="1" s="1"/>
  <c r="I13" i="1"/>
  <c r="H13" i="1"/>
  <c r="P13" i="1" s="1"/>
  <c r="O13" i="1" s="1"/>
  <c r="I12" i="1"/>
  <c r="H12" i="1"/>
  <c r="P12" i="1" s="1"/>
  <c r="M12" i="1" s="1"/>
  <c r="I11" i="1"/>
  <c r="H11" i="1"/>
  <c r="P11" i="1" s="1"/>
  <c r="I10" i="1"/>
  <c r="H10" i="1"/>
  <c r="P10" i="1" s="1"/>
  <c r="I9" i="1"/>
  <c r="H9" i="1"/>
  <c r="P9" i="1" s="1"/>
  <c r="O9" i="1" s="1"/>
  <c r="I8" i="1"/>
  <c r="H8" i="1"/>
  <c r="P8" i="1" s="1"/>
  <c r="M176" i="1" l="1"/>
  <c r="L176" i="1"/>
  <c r="O176" i="1"/>
  <c r="M177" i="1"/>
  <c r="M179" i="1"/>
  <c r="N177" i="1"/>
  <c r="N179" i="1"/>
  <c r="K178" i="1"/>
  <c r="K180" i="1"/>
  <c r="L180" i="1"/>
  <c r="M178" i="1"/>
  <c r="M180" i="1"/>
  <c r="L178" i="1"/>
  <c r="N178" i="1"/>
  <c r="N180" i="1"/>
  <c r="O169" i="1"/>
  <c r="K169" i="1"/>
  <c r="O173" i="1"/>
  <c r="L173" i="1"/>
  <c r="K173" i="1"/>
  <c r="O167" i="1"/>
  <c r="K167" i="1"/>
  <c r="L167" i="1"/>
  <c r="M167" i="1"/>
  <c r="N167" i="1"/>
  <c r="O171" i="1"/>
  <c r="L171" i="1"/>
  <c r="K171" i="1"/>
  <c r="O175" i="1"/>
  <c r="L175" i="1"/>
  <c r="K175" i="1"/>
  <c r="L169" i="1"/>
  <c r="M169" i="1"/>
  <c r="M171" i="1"/>
  <c r="M173" i="1"/>
  <c r="M175" i="1"/>
  <c r="N169" i="1"/>
  <c r="N171" i="1"/>
  <c r="N173" i="1"/>
  <c r="N175" i="1"/>
  <c r="K168" i="1"/>
  <c r="K170" i="1"/>
  <c r="K172" i="1"/>
  <c r="K174" i="1"/>
  <c r="K176" i="1"/>
  <c r="L168" i="1"/>
  <c r="L170" i="1"/>
  <c r="L172" i="1"/>
  <c r="L174" i="1"/>
  <c r="M168" i="1"/>
  <c r="M170" i="1"/>
  <c r="M172" i="1"/>
  <c r="M174" i="1"/>
  <c r="N168" i="1"/>
  <c r="N170" i="1"/>
  <c r="N172" i="1"/>
  <c r="N174" i="1"/>
  <c r="N160" i="1"/>
  <c r="M69" i="1"/>
  <c r="J27" i="1"/>
  <c r="M27" i="1"/>
  <c r="N27" i="1"/>
  <c r="N156" i="1"/>
  <c r="M160" i="1"/>
  <c r="L27" i="1"/>
  <c r="O161" i="1"/>
  <c r="M156" i="1"/>
  <c r="L28" i="1"/>
  <c r="O16" i="1"/>
  <c r="M16" i="1"/>
  <c r="K18" i="1"/>
  <c r="N18" i="1"/>
  <c r="L18" i="1"/>
  <c r="M10" i="1"/>
  <c r="N10" i="1"/>
  <c r="J28" i="1"/>
  <c r="O69" i="1"/>
  <c r="M157" i="1"/>
  <c r="N157" i="1"/>
  <c r="O28" i="1"/>
  <c r="M158" i="1"/>
  <c r="L12" i="1"/>
  <c r="N158" i="1"/>
  <c r="M159" i="1"/>
  <c r="N159" i="1"/>
  <c r="K15" i="1"/>
  <c r="N15" i="1"/>
  <c r="M15" i="1"/>
  <c r="L15" i="1"/>
  <c r="J15" i="1"/>
  <c r="M58" i="1"/>
  <c r="L58" i="1"/>
  <c r="K58" i="1"/>
  <c r="O58" i="1"/>
  <c r="N58" i="1"/>
  <c r="K21" i="1"/>
  <c r="N21" i="1"/>
  <c r="M21" i="1"/>
  <c r="L21" i="1"/>
  <c r="J21" i="1"/>
  <c r="K11" i="1"/>
  <c r="N11" i="1"/>
  <c r="L11" i="1"/>
  <c r="M11" i="1"/>
  <c r="J11" i="1"/>
  <c r="M22" i="1"/>
  <c r="L22" i="1"/>
  <c r="O22" i="1"/>
  <c r="M43" i="1"/>
  <c r="K43" i="1"/>
  <c r="O43" i="1"/>
  <c r="N43" i="1"/>
  <c r="L43" i="1"/>
  <c r="M8" i="1"/>
  <c r="L8" i="1"/>
  <c r="O8" i="1"/>
  <c r="M39" i="1"/>
  <c r="O39" i="1"/>
  <c r="K39" i="1"/>
  <c r="N39" i="1"/>
  <c r="L39" i="1"/>
  <c r="L14" i="1"/>
  <c r="M14" i="1"/>
  <c r="K14" i="1"/>
  <c r="J14" i="1"/>
  <c r="O14" i="1"/>
  <c r="N14" i="1"/>
  <c r="M33" i="1"/>
  <c r="N33" i="1"/>
  <c r="K33" i="1"/>
  <c r="O33" i="1"/>
  <c r="L33" i="1"/>
  <c r="O10" i="1"/>
  <c r="O12" i="1"/>
  <c r="L16" i="1"/>
  <c r="M18" i="1"/>
  <c r="O18" i="1"/>
  <c r="K48" i="1"/>
  <c r="K10" i="1"/>
  <c r="J10" i="1"/>
  <c r="L10" i="1"/>
  <c r="J18" i="1"/>
  <c r="K32" i="1"/>
  <c r="L85" i="1"/>
  <c r="O85" i="1"/>
  <c r="N85" i="1"/>
  <c r="M85" i="1"/>
  <c r="K85" i="1"/>
  <c r="O100" i="1"/>
  <c r="L100" i="1"/>
  <c r="N100" i="1"/>
  <c r="M100" i="1"/>
  <c r="K100" i="1"/>
  <c r="O109" i="1"/>
  <c r="L109" i="1"/>
  <c r="N109" i="1"/>
  <c r="M109" i="1"/>
  <c r="K109" i="1"/>
  <c r="N120" i="1"/>
  <c r="M120" i="1"/>
  <c r="N138" i="1"/>
  <c r="M138" i="1"/>
  <c r="J32" i="1"/>
  <c r="O32" i="1"/>
  <c r="N32" i="1"/>
  <c r="M32" i="1"/>
  <c r="K42" i="1"/>
  <c r="O47" i="1"/>
  <c r="N47" i="1"/>
  <c r="M47" i="1"/>
  <c r="L47" i="1"/>
  <c r="K47" i="1"/>
  <c r="J47" i="1"/>
  <c r="O81" i="1"/>
  <c r="N81" i="1"/>
  <c r="L81" i="1"/>
  <c r="K81" i="1"/>
  <c r="O94" i="1"/>
  <c r="N94" i="1"/>
  <c r="L94" i="1"/>
  <c r="K94" i="1"/>
  <c r="O105" i="1"/>
  <c r="N105" i="1"/>
  <c r="L105" i="1"/>
  <c r="K105" i="1"/>
  <c r="O125" i="1"/>
  <c r="N125" i="1"/>
  <c r="M125" i="1"/>
  <c r="N144" i="1"/>
  <c r="M144" i="1"/>
  <c r="O144" i="1"/>
  <c r="N150" i="1"/>
  <c r="M150" i="1"/>
  <c r="O150" i="1"/>
  <c r="N132" i="1"/>
  <c r="M132" i="1"/>
  <c r="O59" i="1"/>
  <c r="M59" i="1"/>
  <c r="L59" i="1"/>
  <c r="K59" i="1"/>
  <c r="J59" i="1"/>
  <c r="L74" i="1"/>
  <c r="K74" i="1"/>
  <c r="O74" i="1"/>
  <c r="N74" i="1"/>
  <c r="L101" i="1"/>
  <c r="K101" i="1"/>
  <c r="O101" i="1"/>
  <c r="N101" i="1"/>
  <c r="N116" i="1"/>
  <c r="M116" i="1"/>
  <c r="O120" i="1"/>
  <c r="O133" i="1"/>
  <c r="N133" i="1"/>
  <c r="M133" i="1"/>
  <c r="O138" i="1"/>
  <c r="L88" i="1"/>
  <c r="K88" i="1"/>
  <c r="O88" i="1"/>
  <c r="N88" i="1"/>
  <c r="N8" i="1"/>
  <c r="K8" i="1"/>
  <c r="J8" i="1"/>
  <c r="J48" i="1"/>
  <c r="O48" i="1"/>
  <c r="N48" i="1"/>
  <c r="M48" i="1"/>
  <c r="O121" i="1"/>
  <c r="N121" i="1"/>
  <c r="M121" i="1"/>
  <c r="N126" i="1"/>
  <c r="M126" i="1"/>
  <c r="O126" i="1"/>
  <c r="O139" i="1"/>
  <c r="N139" i="1"/>
  <c r="M139" i="1"/>
  <c r="O145" i="1"/>
  <c r="N145" i="1"/>
  <c r="M145" i="1"/>
  <c r="O151" i="1"/>
  <c r="N151" i="1"/>
  <c r="M151" i="1"/>
  <c r="N17" i="1"/>
  <c r="M17" i="1"/>
  <c r="K17" i="1"/>
  <c r="L17" i="1"/>
  <c r="J17" i="1"/>
  <c r="O149" i="1"/>
  <c r="N149" i="1"/>
  <c r="M149" i="1"/>
  <c r="M36" i="1"/>
  <c r="L36" i="1"/>
  <c r="K36" i="1"/>
  <c r="J36" i="1"/>
  <c r="O70" i="1"/>
  <c r="N70" i="1"/>
  <c r="L70" i="1"/>
  <c r="M70" i="1"/>
  <c r="K70" i="1"/>
  <c r="O82" i="1"/>
  <c r="N82" i="1"/>
  <c r="L82" i="1"/>
  <c r="M82" i="1"/>
  <c r="K82" i="1"/>
  <c r="M88" i="1"/>
  <c r="O95" i="1"/>
  <c r="N95" i="1"/>
  <c r="L95" i="1"/>
  <c r="M95" i="1"/>
  <c r="K95" i="1"/>
  <c r="M101" i="1"/>
  <c r="N106" i="1"/>
  <c r="O106" i="1"/>
  <c r="L106" i="1"/>
  <c r="M106" i="1"/>
  <c r="K106" i="1"/>
  <c r="O116" i="1"/>
  <c r="N134" i="1"/>
  <c r="M134" i="1"/>
  <c r="O134" i="1"/>
  <c r="O26" i="1"/>
  <c r="N26" i="1"/>
  <c r="M26" i="1"/>
  <c r="L26" i="1"/>
  <c r="K26" i="1"/>
  <c r="J26" i="1"/>
  <c r="O143" i="1"/>
  <c r="N143" i="1"/>
  <c r="M143" i="1"/>
  <c r="N59" i="1"/>
  <c r="M74" i="1"/>
  <c r="N12" i="1"/>
  <c r="K12" i="1"/>
  <c r="J12" i="1"/>
  <c r="M40" i="1"/>
  <c r="L40" i="1"/>
  <c r="K40" i="1"/>
  <c r="J40" i="1"/>
  <c r="N62" i="1"/>
  <c r="O62" i="1"/>
  <c r="M62" i="1"/>
  <c r="L62" i="1"/>
  <c r="K62" i="1"/>
  <c r="J62" i="1"/>
  <c r="O75" i="1"/>
  <c r="N75" i="1"/>
  <c r="L75" i="1"/>
  <c r="K75" i="1"/>
  <c r="O89" i="1"/>
  <c r="N89" i="1"/>
  <c r="L89" i="1"/>
  <c r="K89" i="1"/>
  <c r="O102" i="1"/>
  <c r="N102" i="1"/>
  <c r="L102" i="1"/>
  <c r="K102" i="1"/>
  <c r="O117" i="1"/>
  <c r="N117" i="1"/>
  <c r="M117" i="1"/>
  <c r="N122" i="1"/>
  <c r="M122" i="1"/>
  <c r="O127" i="1"/>
  <c r="N127" i="1"/>
  <c r="M127" i="1"/>
  <c r="N140" i="1"/>
  <c r="M140" i="1"/>
  <c r="O140" i="1"/>
  <c r="N146" i="1"/>
  <c r="M146" i="1"/>
  <c r="O146" i="1"/>
  <c r="N152" i="1"/>
  <c r="M152" i="1"/>
  <c r="O152" i="1"/>
  <c r="O73" i="1"/>
  <c r="L73" i="1"/>
  <c r="N73" i="1"/>
  <c r="M73" i="1"/>
  <c r="K73" i="1"/>
  <c r="N36" i="1"/>
  <c r="J38" i="1"/>
  <c r="O38" i="1"/>
  <c r="N38" i="1"/>
  <c r="M38" i="1"/>
  <c r="L71" i="1"/>
  <c r="K71" i="1"/>
  <c r="O71" i="1"/>
  <c r="N71" i="1"/>
  <c r="L83" i="1"/>
  <c r="K83" i="1"/>
  <c r="O83" i="1"/>
  <c r="N83" i="1"/>
  <c r="L98" i="1"/>
  <c r="K98" i="1"/>
  <c r="O98" i="1"/>
  <c r="N98" i="1"/>
  <c r="L107" i="1"/>
  <c r="K107" i="1"/>
  <c r="O107" i="1"/>
  <c r="N107" i="1"/>
  <c r="O135" i="1"/>
  <c r="N135" i="1"/>
  <c r="M135" i="1"/>
  <c r="O37" i="1"/>
  <c r="N37" i="1"/>
  <c r="M37" i="1"/>
  <c r="L37" i="1"/>
  <c r="K37" i="1"/>
  <c r="J37" i="1"/>
  <c r="N9" i="1"/>
  <c r="M9" i="1"/>
  <c r="L9" i="1"/>
  <c r="K9" i="1"/>
  <c r="J9" i="1"/>
  <c r="N16" i="1"/>
  <c r="K16" i="1"/>
  <c r="J16" i="1"/>
  <c r="N40" i="1"/>
  <c r="K63" i="1"/>
  <c r="J63" i="1"/>
  <c r="O63" i="1"/>
  <c r="N63" i="1"/>
  <c r="M63" i="1"/>
  <c r="M75" i="1"/>
  <c r="M89" i="1"/>
  <c r="M102" i="1"/>
  <c r="N118" i="1"/>
  <c r="M118" i="1"/>
  <c r="O122" i="1"/>
  <c r="N128" i="1"/>
  <c r="M128" i="1"/>
  <c r="O128" i="1"/>
  <c r="O141" i="1"/>
  <c r="N141" i="1"/>
  <c r="M141" i="1"/>
  <c r="O147" i="1"/>
  <c r="N147" i="1"/>
  <c r="M147" i="1"/>
  <c r="O153" i="1"/>
  <c r="N153" i="1"/>
  <c r="M153" i="1"/>
  <c r="N31" i="1"/>
  <c r="O31" i="1"/>
  <c r="M31" i="1"/>
  <c r="L31" i="1"/>
  <c r="K31" i="1"/>
  <c r="J31" i="1"/>
  <c r="O76" i="1"/>
  <c r="N76" i="1"/>
  <c r="M76" i="1"/>
  <c r="L76" i="1"/>
  <c r="K76" i="1"/>
  <c r="O92" i="1"/>
  <c r="N92" i="1"/>
  <c r="M92" i="1"/>
  <c r="L92" i="1"/>
  <c r="K92" i="1"/>
  <c r="O103" i="1"/>
  <c r="L103" i="1"/>
  <c r="N103" i="1"/>
  <c r="M103" i="1"/>
  <c r="K103" i="1"/>
  <c r="O123" i="1"/>
  <c r="N123" i="1"/>
  <c r="M123" i="1"/>
  <c r="N136" i="1"/>
  <c r="M136" i="1"/>
  <c r="O136" i="1"/>
  <c r="J42" i="1"/>
  <c r="O42" i="1"/>
  <c r="N42" i="1"/>
  <c r="M42" i="1"/>
  <c r="N13" i="1"/>
  <c r="M13" i="1"/>
  <c r="K13" i="1"/>
  <c r="L13" i="1"/>
  <c r="J13" i="1"/>
  <c r="N22" i="1"/>
  <c r="K22" i="1"/>
  <c r="J22" i="1"/>
  <c r="L38" i="1"/>
  <c r="O41" i="1"/>
  <c r="N41" i="1"/>
  <c r="M41" i="1"/>
  <c r="L41" i="1"/>
  <c r="K41" i="1"/>
  <c r="J41" i="1"/>
  <c r="O72" i="1"/>
  <c r="N72" i="1"/>
  <c r="L72" i="1"/>
  <c r="K72" i="1"/>
  <c r="O84" i="1"/>
  <c r="N84" i="1"/>
  <c r="L84" i="1"/>
  <c r="K84" i="1"/>
  <c r="O99" i="1"/>
  <c r="N99" i="1"/>
  <c r="L99" i="1"/>
  <c r="K99" i="1"/>
  <c r="O108" i="1"/>
  <c r="N108" i="1"/>
  <c r="L108" i="1"/>
  <c r="K108" i="1"/>
  <c r="O129" i="1"/>
  <c r="N129" i="1"/>
  <c r="M129" i="1"/>
  <c r="N142" i="1"/>
  <c r="M142" i="1"/>
  <c r="O142" i="1"/>
  <c r="N148" i="1"/>
  <c r="M148" i="1"/>
  <c r="O148" i="1"/>
  <c r="O17" i="1"/>
  <c r="O44" i="1"/>
  <c r="M44" i="1"/>
  <c r="L44" i="1"/>
  <c r="K44" i="1"/>
  <c r="J44" i="1"/>
  <c r="L77" i="1"/>
  <c r="K77" i="1"/>
  <c r="O77" i="1"/>
  <c r="N77" i="1"/>
  <c r="L93" i="1"/>
  <c r="K93" i="1"/>
  <c r="O93" i="1"/>
  <c r="N93" i="1"/>
  <c r="L104" i="1"/>
  <c r="K104" i="1"/>
  <c r="O104" i="1"/>
  <c r="N104" i="1"/>
  <c r="O119" i="1"/>
  <c r="N119" i="1"/>
  <c r="M119" i="1"/>
  <c r="N124" i="1"/>
  <c r="M124" i="1"/>
  <c r="O137" i="1"/>
  <c r="N137" i="1"/>
  <c r="M137" i="1"/>
  <c r="O11" i="1"/>
  <c r="O15" i="1"/>
  <c r="O21" i="1"/>
  <c r="O27" i="1"/>
  <c r="J33" i="1"/>
  <c r="J39" i="1"/>
  <c r="J43" i="1"/>
  <c r="J58" i="1"/>
</calcChain>
</file>

<file path=xl/sharedStrings.xml><?xml version="1.0" encoding="utf-8"?>
<sst xmlns="http://schemas.openxmlformats.org/spreadsheetml/2006/main" count="558" uniqueCount="266">
  <si>
    <t>Categoria A = Personaliza a partir de 1un em DTF (orçar custo do DTF), e a partir de 50un no silk.</t>
  </si>
  <si>
    <t>vendas 1/10/100/500/1000</t>
  </si>
  <si>
    <t>SILK = 0,50 POR LADO</t>
  </si>
  <si>
    <t>Categoria B = Personaliza a partir de 10un em DTF (orçar custo do DTF), e a partir de 100un no silk.</t>
  </si>
  <si>
    <t>vendas 10/100/1000/5000</t>
  </si>
  <si>
    <t>Categoria C = Personaliza a partir de 50un em DTF (orçar custo do DTF), e a partir de 100un no silk.</t>
  </si>
  <si>
    <t>vendas 50/100/1000/5000</t>
  </si>
  <si>
    <t>preço tabela = melhor valor</t>
  </si>
  <si>
    <t>produto</t>
  </si>
  <si>
    <t>Codigo</t>
  </si>
  <si>
    <t>GRUPO</t>
  </si>
  <si>
    <t>PREÇO TABELA</t>
  </si>
  <si>
    <t>1000un</t>
  </si>
  <si>
    <t>500un</t>
  </si>
  <si>
    <t>100un</t>
  </si>
  <si>
    <t>50un</t>
  </si>
  <si>
    <t>10un</t>
  </si>
  <si>
    <t>1un</t>
  </si>
  <si>
    <t>CX. PAP. CORREIO - 18X12X6</t>
  </si>
  <si>
    <t>002152</t>
  </si>
  <si>
    <t>A</t>
  </si>
  <si>
    <t>CX. PAP. CORREIO - 25X17X9</t>
  </si>
  <si>
    <t>002112</t>
  </si>
  <si>
    <t>CX. PAP. CORREIO - 30X20X11</t>
  </si>
  <si>
    <t>002061</t>
  </si>
  <si>
    <t>CX. PAP. CORREIO - 34X28X15</t>
  </si>
  <si>
    <t>002059</t>
  </si>
  <si>
    <t>CX. PAP. CORREIO - 35X25X10</t>
  </si>
  <si>
    <t>002060</t>
  </si>
  <si>
    <t>CX. PAP. CORREIO - 35X27X6</t>
  </si>
  <si>
    <t>002163</t>
  </si>
  <si>
    <t>CX. PAP. MALETA - 30X21X18</t>
  </si>
  <si>
    <t>002064</t>
  </si>
  <si>
    <t>CX. PAP. MALETA - 35X8X16</t>
  </si>
  <si>
    <t>002062</t>
  </si>
  <si>
    <t>CX. PAP. MALETA - 43X30X30</t>
  </si>
  <si>
    <t>002153</t>
  </si>
  <si>
    <t>CX. PAP. MALETA - 50X40X35</t>
  </si>
  <si>
    <t>002076</t>
  </si>
  <si>
    <t>CX. PAP. MALETA - 54X49X47</t>
  </si>
  <si>
    <t>002077</t>
  </si>
  <si>
    <t>SACOLA LAMINADA 33X25X15</t>
  </si>
  <si>
    <t>004036</t>
  </si>
  <si>
    <t>SACOLA LAMINADA 39X33X15</t>
  </si>
  <si>
    <t>004037</t>
  </si>
  <si>
    <t>SACOLA NAT. ALÇA COLORIDA</t>
  </si>
  <si>
    <t>004050</t>
  </si>
  <si>
    <t>SACOLA NAT. ALÇA COLORIDA 16x19x5</t>
  </si>
  <si>
    <t>SACOLA NAT. ALÇA COLORIDA 21x22x14</t>
  </si>
  <si>
    <t>SACOLA NAT. ALÇA COLORIDA 25x28x15</t>
  </si>
  <si>
    <t>ENVELOPE KRAFT E-COMMERCE 20X25X5</t>
  </si>
  <si>
    <t>002086</t>
  </si>
  <si>
    <t>ENVELOPE KRAFT E-COMMERCE 25X35X5</t>
  </si>
  <si>
    <t>002176</t>
  </si>
  <si>
    <t>ENVELOPE KRAFT REFORÇADO 25X37CM</t>
  </si>
  <si>
    <t>002171</t>
  </si>
  <si>
    <t>SAQUINHO DE ALGODÃO 10X12</t>
  </si>
  <si>
    <t>002120</t>
  </si>
  <si>
    <t>SAQUINHO DE ALGODÃO 12X15</t>
  </si>
  <si>
    <t>002121</t>
  </si>
  <si>
    <t>SAQUINHO DE ALGODÃO 15X20</t>
  </si>
  <si>
    <t>002122</t>
  </si>
  <si>
    <t>SAQUINHO DE ALGODÃO 18X22</t>
  </si>
  <si>
    <t>002123</t>
  </si>
  <si>
    <t>SAQUINHO DE ALGODÃO 20X30</t>
  </si>
  <si>
    <t>002119</t>
  </si>
  <si>
    <t>SAQUINHO DE ALGODÃO 20X35</t>
  </si>
  <si>
    <t>002124</t>
  </si>
  <si>
    <t>SAQUINHO DE ALGODÃO 25X35</t>
  </si>
  <si>
    <t>002125</t>
  </si>
  <si>
    <t>SAQUINHO DE ALGODÃO 30X40</t>
  </si>
  <si>
    <t>002126</t>
  </si>
  <si>
    <t>SAQUINHO DE ALGODÃO 40X60</t>
  </si>
  <si>
    <t>002136</t>
  </si>
  <si>
    <t>SACOLA DE ALGODÃO 20X25 - PADRÃO</t>
  </si>
  <si>
    <t>002150</t>
  </si>
  <si>
    <t>SACOLA DE ALGODÃO 35X40 - PADRÃO</t>
  </si>
  <si>
    <t>002151</t>
  </si>
  <si>
    <t xml:space="preserve"> </t>
  </si>
  <si>
    <t>SACOLA DE ALGODÃO 28X40 - ALÇA PRETA</t>
  </si>
  <si>
    <t>TOTEBAG 40X50 - ALÇA PRETA</t>
  </si>
  <si>
    <t>TOTEBAG 35X45 - ALÇA CRU</t>
  </si>
  <si>
    <t>SACOCHILA 35X40</t>
  </si>
  <si>
    <t>SACOLA/SACO DE ALGODÃO 22X30</t>
  </si>
  <si>
    <t>SACOLA TNT ALÇA 38X41</t>
  </si>
  <si>
    <t>004023</t>
  </si>
  <si>
    <t>SACOLA TNT BOCA VAZADA 35X38</t>
  </si>
  <si>
    <t>004030</t>
  </si>
  <si>
    <t>SACOLA TRANSPARENTE ALÇA 17X23X7</t>
  </si>
  <si>
    <t>004051</t>
  </si>
  <si>
    <t>SACOLA TRANSPARENTE ALÇA 24X34X12</t>
  </si>
  <si>
    <t>004052</t>
  </si>
  <si>
    <t>SACOLA KRAFT 13X16X8</t>
  </si>
  <si>
    <t>004002</t>
  </si>
  <si>
    <t>B</t>
  </si>
  <si>
    <t>SACOLA KRAFT 13X8X39 (VINHO)</t>
  </si>
  <si>
    <t>004024</t>
  </si>
  <si>
    <t>SACOLA KRAFT 18X26X10</t>
  </si>
  <si>
    <t>004003</t>
  </si>
  <si>
    <t>SACOLA KRAFT 24X34X10</t>
  </si>
  <si>
    <t>004004</t>
  </si>
  <si>
    <t>SACOLA KRAFT 31X33X19</t>
  </si>
  <si>
    <t>004005</t>
  </si>
  <si>
    <t>SACOLA KRAFT 31X41X13</t>
  </si>
  <si>
    <t>004006</t>
  </si>
  <si>
    <t>SACOLA KRAFT 37X46X14</t>
  </si>
  <si>
    <t>004008</t>
  </si>
  <si>
    <t>SACOLA KRAFT 40X33X13</t>
  </si>
  <si>
    <t>004007</t>
  </si>
  <si>
    <t>SACOLA KRAFT 9X23X7</t>
  </si>
  <si>
    <t>004038</t>
  </si>
  <si>
    <t>SACOLA PAPEL BRANCO 13X16X8</t>
  </si>
  <si>
    <t>004043</t>
  </si>
  <si>
    <t>SACOLA PAPEL BRANCO 18X26X10</t>
  </si>
  <si>
    <t>004017</t>
  </si>
  <si>
    <t>SACOLA PAPEL BRANCO 24X34X11</t>
  </si>
  <si>
    <t>004016</t>
  </si>
  <si>
    <t>SACOLA PAPEL BRANCO 31X33X19</t>
  </si>
  <si>
    <t>004029</t>
  </si>
  <si>
    <t>SACOLA PAPEL BRANCO 31X41X15</t>
  </si>
  <si>
    <t>004018</t>
  </si>
  <si>
    <t>SACOLA PAPEL COLORIDO 18X22X9</t>
  </si>
  <si>
    <t>004049</t>
  </si>
  <si>
    <t>SACOLA PAPEL COLORIDO 24X34X11</t>
  </si>
  <si>
    <t>004048</t>
  </si>
  <si>
    <t>SACOLA PAPEL OFFSET 160G 14X15X8</t>
  </si>
  <si>
    <t>004047</t>
  </si>
  <si>
    <t>SACOLA PAPEL OFFSET 160G 22X33X9</t>
  </si>
  <si>
    <t>004032</t>
  </si>
  <si>
    <t>SACOLA PAPEL OFFSET 160G 40X27X12</t>
  </si>
  <si>
    <t>004033</t>
  </si>
  <si>
    <t>SACOLA PAPEL OFFSET 160G 47X34X14</t>
  </si>
  <si>
    <t>004034</t>
  </si>
  <si>
    <t>VELUDO 10X12 OURO</t>
  </si>
  <si>
    <t>002139</t>
  </si>
  <si>
    <t>VELUDO 10X12 PRATA</t>
  </si>
  <si>
    <t>002138</t>
  </si>
  <si>
    <t>VELUDO 10X12 PRETO</t>
  </si>
  <si>
    <t>002137</t>
  </si>
  <si>
    <t>VELUDO 12X15 OURO</t>
  </si>
  <si>
    <t>002142</t>
  </si>
  <si>
    <t>VELUDO 12X15 PRATA</t>
  </si>
  <si>
    <t>002141</t>
  </si>
  <si>
    <t>VELUDO 12X15 PRETO</t>
  </si>
  <si>
    <t>002140</t>
  </si>
  <si>
    <t>SACO JUTA 10X15CM</t>
  </si>
  <si>
    <t>002177</t>
  </si>
  <si>
    <t>SACO JUTA 15X20CM</t>
  </si>
  <si>
    <t>002178</t>
  </si>
  <si>
    <t>SACO ORGANZA BRANCA 10X15</t>
  </si>
  <si>
    <t>002135</t>
  </si>
  <si>
    <t>SACO ORGANZA BRANCA 7X9</t>
  </si>
  <si>
    <t>002134</t>
  </si>
  <si>
    <t>SACO ORGANZA PRETO 10X15</t>
  </si>
  <si>
    <t>002133</t>
  </si>
  <si>
    <t>SACO ORGANZA PRETO 7X9</t>
  </si>
  <si>
    <t>002132</t>
  </si>
  <si>
    <t>EMB. FOSCO ZIPER BRANCO 14X18</t>
  </si>
  <si>
    <t>002164</t>
  </si>
  <si>
    <t>C</t>
  </si>
  <si>
    <t>EMB. FOSCO ZIPER BRANCO 15X20</t>
  </si>
  <si>
    <t>002165</t>
  </si>
  <si>
    <t>EMB. FOSCO ZIPER BRANCO 18X25</t>
  </si>
  <si>
    <t>002166</t>
  </si>
  <si>
    <t>EMB. FOSCO ZIPER BRANCO 20X30</t>
  </si>
  <si>
    <t>002167</t>
  </si>
  <si>
    <t>EMB. FOSCO ZIPER BRANCO 25X35</t>
  </si>
  <si>
    <t>002168</t>
  </si>
  <si>
    <t>EMB. FOSCO ZIPER BRANCO 30X40</t>
  </si>
  <si>
    <t>002169</t>
  </si>
  <si>
    <t>EMB. FOSCO ZIPER BRANCO 35X45</t>
  </si>
  <si>
    <t>002173</t>
  </si>
  <si>
    <t>EMB. FOSCO ZIPER PRETO 14X18</t>
  </si>
  <si>
    <t>002154</t>
  </si>
  <si>
    <t>EMB. FOSCO ZIPER PRETO 15X20</t>
  </si>
  <si>
    <t>002147</t>
  </si>
  <si>
    <t>EMB. FOSCO ZIPER PRETO 18X25</t>
  </si>
  <si>
    <t>002129</t>
  </si>
  <si>
    <t>EMB. FOSCO ZIPER PRETO 20X30</t>
  </si>
  <si>
    <t>002148</t>
  </si>
  <si>
    <t>EMB. FOSCO ZIPER PRETO 25X35</t>
  </si>
  <si>
    <t>002130</t>
  </si>
  <si>
    <t>EMB. FOSCO ZIPER PRETO 30X40</t>
  </si>
  <si>
    <t>002131</t>
  </si>
  <si>
    <t>EMB. FOSCO ZIPER PRETO 35X45</t>
  </si>
  <si>
    <t>002162</t>
  </si>
  <si>
    <t>EMBALAGEM PVC BOTÃO 01 - 10X10/ 100UN</t>
  </si>
  <si>
    <t>002028</t>
  </si>
  <si>
    <t>EMBALAGEM PVC BOTÃO 02 - 12X14/ 100UN</t>
  </si>
  <si>
    <t>002029</t>
  </si>
  <si>
    <t>EMBALAGEM PVC BOTÃO 03 - 15X13,5/ 100UN</t>
  </si>
  <si>
    <t>002030</t>
  </si>
  <si>
    <t>EMBALAGEM PVC BOTÃO 04 - 18,5X15/ 100UN</t>
  </si>
  <si>
    <t>002031</t>
  </si>
  <si>
    <t>EMBALAGEM PVC BOTÃO 05 - 22,5X14/ 100UN</t>
  </si>
  <si>
    <t>002032</t>
  </si>
  <si>
    <t>EMBALAGEM PVC BOTÃO 06 - 35X17/ 100UN</t>
  </si>
  <si>
    <t>002033</t>
  </si>
  <si>
    <t>EMBALAGEM PVC BOTÃO 07 - 19X21/ 100UN</t>
  </si>
  <si>
    <t>002034</t>
  </si>
  <si>
    <t>EMBALAGEM PVC BOTÃO 08 - 21X24/ 100UN</t>
  </si>
  <si>
    <t>002035</t>
  </si>
  <si>
    <t>EMBALAGEM PVC BOTÃO 09 - 17X35/ 100UN</t>
  </si>
  <si>
    <t>002036</t>
  </si>
  <si>
    <t>EMBALAGEM PVC BOTÃO 10 - 20X40/ 100UN</t>
  </si>
  <si>
    <t>002037</t>
  </si>
  <si>
    <t>EMBALAGEM PVC BOTÃO 11 - 26X34/ 100UN</t>
  </si>
  <si>
    <t>002038</t>
  </si>
  <si>
    <t>EMBALAGEM PVC BOTÃO 12 - 32X37/ 100UN</t>
  </si>
  <si>
    <t>002039</t>
  </si>
  <si>
    <t>EMBALAGEM PVC BOTÃO 13 - 40X45/ 10UN</t>
  </si>
  <si>
    <t>002040</t>
  </si>
  <si>
    <t>EMBALAGEM PVC ZIPER N0 - 8X8CM/ 100UN</t>
  </si>
  <si>
    <t>002157</t>
  </si>
  <si>
    <t>EMBALAGEM PVC ZIPER N1 - 10X10/ 100UN</t>
  </si>
  <si>
    <t>002158</t>
  </si>
  <si>
    <t>EMBALAGEM PVC ZIPER N2 - 12X12/ 100UN</t>
  </si>
  <si>
    <t>002159</t>
  </si>
  <si>
    <t>EMBALAGEM PVC ZIPER N3 - 15X15/ 100UN</t>
  </si>
  <si>
    <t>002160</t>
  </si>
  <si>
    <t>EMBALAGEM PVC ZIPER N4 - 18,5X15/ 100UN</t>
  </si>
  <si>
    <t>002041</t>
  </si>
  <si>
    <t>EMBALAGEM PVC ZIPER N5 - 19X21/ 100UN</t>
  </si>
  <si>
    <t>002042</t>
  </si>
  <si>
    <t>EMBALAGEM PVC ZIPER N6 - 20X24/ 100UN</t>
  </si>
  <si>
    <t>002043</t>
  </si>
  <si>
    <t>EMBALAGEM PVC ZIPER N7 - 21X25/ 100UN</t>
  </si>
  <si>
    <t>002110</t>
  </si>
  <si>
    <t>EMBALAGEM PVC ZIPER N8 - 27X30/ 100UN</t>
  </si>
  <si>
    <t>002111</t>
  </si>
  <si>
    <t>SAQUINHO CORREIO 13X25</t>
  </si>
  <si>
    <t>002071</t>
  </si>
  <si>
    <t>SAQUINHO CORREIO 19X25</t>
  </si>
  <si>
    <t>002072</t>
  </si>
  <si>
    <t>SAQUINHO CORREIO 20X30</t>
  </si>
  <si>
    <t>002172</t>
  </si>
  <si>
    <t>SAQUINHO CORREIO 26X36</t>
  </si>
  <si>
    <t>002078</t>
  </si>
  <si>
    <t>SAQUINHO CORREIO 26X36 TYF/ROSA</t>
  </si>
  <si>
    <t>002179</t>
  </si>
  <si>
    <t>SAQUINHO CORREIO 32X40</t>
  </si>
  <si>
    <t>002073</t>
  </si>
  <si>
    <t>SAQUINHO CORREIO 32X40 TYF/ROSA</t>
  </si>
  <si>
    <t>002180</t>
  </si>
  <si>
    <t>SAQUINHO CORREIO 40X40</t>
  </si>
  <si>
    <t>002074</t>
  </si>
  <si>
    <t>SAQUINHO CORREIO 40X50</t>
  </si>
  <si>
    <t>002170</t>
  </si>
  <si>
    <t>SAQUINHO CORREIO 40X50 TYF/ROSA</t>
  </si>
  <si>
    <t>002181</t>
  </si>
  <si>
    <t>SAQUINHO CORREIO 40X60</t>
  </si>
  <si>
    <t>002175</t>
  </si>
  <si>
    <t>SAQUINHO CORREIO 50X60</t>
  </si>
  <si>
    <t>002075</t>
  </si>
  <si>
    <t>SAQUINHO CORREIO 50X60 COLORIDO</t>
  </si>
  <si>
    <t>002174</t>
  </si>
  <si>
    <t>SAQUINHO CORREIO VAZADO 32X40</t>
  </si>
  <si>
    <t>002161</t>
  </si>
  <si>
    <t>CUSTO TABELA</t>
  </si>
  <si>
    <t>250un</t>
  </si>
  <si>
    <t>SACOLA PLASTICA ALÇA 30X45</t>
  </si>
  <si>
    <t>SACOLA PLASTICA ALÇA 40X50</t>
  </si>
  <si>
    <t>SACOLA PLASTICA ALÇA 45X55</t>
  </si>
  <si>
    <t>SACOLA PLÁSTICA BOCA VAZADA 20X30</t>
  </si>
  <si>
    <t>SACOLA PLÁSTICA BOCA VAZADA 30X40</t>
  </si>
  <si>
    <t>SACOLA PLÁSTICA BOCA VAZADA 40x50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</si>
</sst>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ptos"/>
      <family val="2"/>
    </font>
    <font>
      <b/>
      <sz val="11"/>
      <color theme="5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44" fontId="0" fillId="0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44" fontId="4" fillId="3" borderId="1" xfId="1" applyFont="1" applyFill="1" applyBorder="1" applyAlignment="1" applyProtection="1">
      <alignment horizontal="center"/>
    </xf>
    <xf numFmtId="44" fontId="4" fillId="4" borderId="1" xfId="1" applyFont="1" applyFill="1" applyBorder="1" applyAlignment="1" applyProtection="1">
      <alignment horizontal="center"/>
    </xf>
    <xf numFmtId="0" fontId="0" fillId="2" borderId="1" xfId="0" applyFill="1" applyBorder="1"/>
    <xf numFmtId="0" fontId="0" fillId="3" borderId="1" xfId="0" applyFill="1" applyBorder="1"/>
    <xf numFmtId="44" fontId="0" fillId="4" borderId="1" xfId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/>
    </xf>
    <xf numFmtId="44" fontId="5" fillId="4" borderId="1" xfId="1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44" fontId="4" fillId="5" borderId="1" xfId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44" fontId="4" fillId="3" borderId="2" xfId="1" applyFont="1" applyFill="1" applyBorder="1" applyAlignment="1" applyProtection="1">
      <alignment horizontal="center"/>
    </xf>
    <xf numFmtId="0" fontId="3" fillId="2" borderId="3" xfId="0" applyFont="1" applyFill="1" applyBorder="1" applyAlignment="1">
      <alignment horizontal="center"/>
    </xf>
    <xf numFmtId="44" fontId="3" fillId="2" borderId="3" xfId="1" applyFont="1" applyFill="1" applyBorder="1" applyAlignment="1">
      <alignment horizontal="center"/>
    </xf>
    <xf numFmtId="0" fontId="0" fillId="2" borderId="4" xfId="0" applyFill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4" fontId="3" fillId="2" borderId="9" xfId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44" fontId="3" fillId="2" borderId="12" xfId="1" applyFont="1" applyFill="1" applyBorder="1" applyAlignment="1">
      <alignment horizontal="center"/>
    </xf>
    <xf numFmtId="44" fontId="4" fillId="3" borderId="3" xfId="1" applyFont="1" applyFill="1" applyBorder="1" applyAlignment="1" applyProtection="1">
      <alignment horizontal="center"/>
    </xf>
    <xf numFmtId="44" fontId="4" fillId="4" borderId="3" xfId="1" applyFont="1" applyFill="1" applyBorder="1" applyAlignment="1" applyProtection="1">
      <alignment horizontal="center"/>
    </xf>
    <xf numFmtId="0" fontId="0" fillId="3" borderId="4" xfId="0" applyFill="1" applyBorder="1"/>
    <xf numFmtId="44" fontId="4" fillId="4" borderId="4" xfId="1" applyFont="1" applyFill="1" applyBorder="1" applyAlignment="1" applyProtection="1">
      <alignment horizontal="center"/>
    </xf>
    <xf numFmtId="44" fontId="4" fillId="3" borderId="13" xfId="1" applyFont="1" applyFill="1" applyBorder="1" applyAlignment="1" applyProtection="1">
      <alignment horizontal="center"/>
    </xf>
    <xf numFmtId="44" fontId="4" fillId="4" borderId="6" xfId="1" applyFont="1" applyFill="1" applyBorder="1" applyAlignment="1" applyProtection="1">
      <alignment horizontal="center"/>
    </xf>
    <xf numFmtId="44" fontId="4" fillId="4" borderId="7" xfId="1" applyFont="1" applyFill="1" applyBorder="1" applyAlignment="1" applyProtection="1">
      <alignment horizontal="center"/>
    </xf>
    <xf numFmtId="44" fontId="4" fillId="4" borderId="9" xfId="1" applyFont="1" applyFill="1" applyBorder="1" applyAlignment="1" applyProtection="1">
      <alignment horizontal="center"/>
    </xf>
    <xf numFmtId="44" fontId="4" fillId="3" borderId="14" xfId="1" applyFont="1" applyFill="1" applyBorder="1" applyAlignment="1" applyProtection="1">
      <alignment horizontal="center"/>
    </xf>
    <xf numFmtId="44" fontId="4" fillId="4" borderId="11" xfId="1" applyFont="1" applyFill="1" applyBorder="1" applyAlignment="1" applyProtection="1">
      <alignment horizontal="center"/>
    </xf>
    <xf numFmtId="44" fontId="4" fillId="4" borderId="12" xfId="1" applyFont="1" applyFill="1" applyBorder="1" applyAlignment="1" applyProtection="1">
      <alignment horizontal="center"/>
    </xf>
  </cellXfs>
  <cellStyles count="2">
    <cellStyle name="Mo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ropbox\DANI\DAMA%20DE%20OUROS\RESULTADO%20DAMA.xlsx" TargetMode="External"/><Relationship Id="rId1" Type="http://schemas.openxmlformats.org/officeDocument/2006/relationships/externalLinkPath" Target="RESULTADO%20DA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s Fixos"/>
      <sheetName val="PRODUTOS"/>
      <sheetName val="Gastos Dama"/>
      <sheetName val="DESP-GASTOS 2023"/>
      <sheetName val="PRODUTOS FAIXAS PREÇO"/>
      <sheetName val="Faturamento"/>
      <sheetName val="TD- Faturamento"/>
      <sheetName val="DESP-GASTOS 2024"/>
      <sheetName val="Taxas - Desc. - Parc."/>
    </sheetNames>
    <sheetDataSet>
      <sheetData sheetId="0"/>
      <sheetData sheetId="1">
        <row r="2">
          <cell r="B2" t="str">
            <v>Código</v>
          </cell>
          <cell r="C2" t="str">
            <v>custo</v>
          </cell>
          <cell r="D2" t="str">
            <v>preço</v>
          </cell>
          <cell r="E2" t="str">
            <v>Preço CORRETO</v>
          </cell>
        </row>
        <row r="3">
          <cell r="B3"/>
          <cell r="C3"/>
          <cell r="D3"/>
          <cell r="E3"/>
        </row>
        <row r="4">
          <cell r="B4" t="str">
            <v>001034</v>
          </cell>
          <cell r="C4">
            <v>66.78</v>
          </cell>
          <cell r="D4">
            <v>140</v>
          </cell>
          <cell r="E4">
            <v>140</v>
          </cell>
        </row>
        <row r="5">
          <cell r="B5" t="str">
            <v>001036</v>
          </cell>
          <cell r="C5">
            <v>46.64</v>
          </cell>
          <cell r="D5">
            <v>98</v>
          </cell>
          <cell r="E5">
            <v>98</v>
          </cell>
        </row>
        <row r="6">
          <cell r="B6" t="str">
            <v>001035</v>
          </cell>
          <cell r="C6">
            <v>79.5</v>
          </cell>
          <cell r="D6">
            <v>168</v>
          </cell>
          <cell r="E6">
            <v>168</v>
          </cell>
        </row>
        <row r="7">
          <cell r="B7" t="str">
            <v>001037</v>
          </cell>
          <cell r="C7">
            <v>58.3</v>
          </cell>
          <cell r="D7">
            <v>123</v>
          </cell>
          <cell r="E7">
            <v>123</v>
          </cell>
        </row>
        <row r="8">
          <cell r="B8" t="str">
            <v>001029</v>
          </cell>
          <cell r="C8">
            <v>190.7</v>
          </cell>
          <cell r="D8">
            <v>400</v>
          </cell>
          <cell r="E8">
            <v>400</v>
          </cell>
        </row>
        <row r="9">
          <cell r="B9" t="str">
            <v>001020</v>
          </cell>
          <cell r="C9">
            <v>8.9</v>
          </cell>
          <cell r="D9">
            <v>20</v>
          </cell>
          <cell r="E9">
            <v>20</v>
          </cell>
        </row>
        <row r="10">
          <cell r="B10" t="str">
            <v>001021</v>
          </cell>
          <cell r="C10">
            <v>9</v>
          </cell>
          <cell r="D10">
            <v>20</v>
          </cell>
          <cell r="E10">
            <v>20</v>
          </cell>
        </row>
        <row r="11">
          <cell r="B11" t="str">
            <v>001022</v>
          </cell>
          <cell r="C11">
            <v>8.9</v>
          </cell>
          <cell r="D11">
            <v>20</v>
          </cell>
          <cell r="E11">
            <v>20</v>
          </cell>
        </row>
        <row r="12">
          <cell r="B12" t="str">
            <v>001023</v>
          </cell>
          <cell r="C12">
            <v>9</v>
          </cell>
          <cell r="D12">
            <v>20</v>
          </cell>
          <cell r="E12">
            <v>20</v>
          </cell>
        </row>
        <row r="13">
          <cell r="B13" t="str">
            <v>001024</v>
          </cell>
          <cell r="C13">
            <v>8.65</v>
          </cell>
          <cell r="D13">
            <v>20</v>
          </cell>
          <cell r="E13">
            <v>20</v>
          </cell>
        </row>
        <row r="14">
          <cell r="B14" t="str">
            <v>001025</v>
          </cell>
          <cell r="C14">
            <v>8.9</v>
          </cell>
          <cell r="D14">
            <v>20</v>
          </cell>
          <cell r="E14">
            <v>20</v>
          </cell>
        </row>
        <row r="15">
          <cell r="B15" t="str">
            <v>001026</v>
          </cell>
          <cell r="C15">
            <v>8.9</v>
          </cell>
          <cell r="D15">
            <v>20</v>
          </cell>
          <cell r="E15">
            <v>20</v>
          </cell>
        </row>
        <row r="16">
          <cell r="B16" t="str">
            <v>001027</v>
          </cell>
          <cell r="C16">
            <v>22.5</v>
          </cell>
          <cell r="D16">
            <v>45</v>
          </cell>
          <cell r="E16">
            <v>45</v>
          </cell>
        </row>
        <row r="17">
          <cell r="B17" t="str">
            <v>001032</v>
          </cell>
          <cell r="C17">
            <v>10.199999999999999</v>
          </cell>
          <cell r="D17">
            <v>20</v>
          </cell>
          <cell r="E17">
            <v>20</v>
          </cell>
        </row>
        <row r="18">
          <cell r="B18" t="str">
            <v>001007</v>
          </cell>
          <cell r="C18">
            <v>9.15</v>
          </cell>
          <cell r="D18">
            <v>20</v>
          </cell>
          <cell r="E18">
            <v>20</v>
          </cell>
        </row>
        <row r="19">
          <cell r="B19" t="str">
            <v>001008</v>
          </cell>
          <cell r="C19">
            <v>10.33</v>
          </cell>
          <cell r="D19">
            <v>20</v>
          </cell>
          <cell r="E19">
            <v>20</v>
          </cell>
        </row>
        <row r="20">
          <cell r="B20" t="str">
            <v>001009</v>
          </cell>
          <cell r="C20">
            <v>8.9</v>
          </cell>
          <cell r="D20">
            <v>20</v>
          </cell>
          <cell r="E20">
            <v>20</v>
          </cell>
        </row>
        <row r="21">
          <cell r="B21" t="str">
            <v>001006</v>
          </cell>
          <cell r="C21">
            <v>9</v>
          </cell>
          <cell r="D21">
            <v>20</v>
          </cell>
          <cell r="E21">
            <v>20</v>
          </cell>
        </row>
        <row r="22">
          <cell r="B22" t="str">
            <v>001010</v>
          </cell>
          <cell r="C22">
            <v>9</v>
          </cell>
          <cell r="D22">
            <v>20</v>
          </cell>
          <cell r="E22">
            <v>20</v>
          </cell>
        </row>
        <row r="23">
          <cell r="B23" t="str">
            <v>001012</v>
          </cell>
          <cell r="C23">
            <v>9.6</v>
          </cell>
          <cell r="D23">
            <v>20</v>
          </cell>
          <cell r="E23">
            <v>20</v>
          </cell>
        </row>
        <row r="24">
          <cell r="B24" t="str">
            <v>001005</v>
          </cell>
          <cell r="C24">
            <v>0</v>
          </cell>
          <cell r="D24">
            <v>0</v>
          </cell>
          <cell r="E24">
            <v>0</v>
          </cell>
        </row>
        <row r="25">
          <cell r="B25" t="str">
            <v>001001</v>
          </cell>
          <cell r="C25">
            <v>53.35</v>
          </cell>
          <cell r="D25">
            <v>96</v>
          </cell>
          <cell r="E25">
            <v>96</v>
          </cell>
        </row>
        <row r="26">
          <cell r="B26" t="str">
            <v>001002</v>
          </cell>
          <cell r="C26">
            <v>264.42</v>
          </cell>
          <cell r="D26">
            <v>560</v>
          </cell>
          <cell r="E26">
            <v>560</v>
          </cell>
        </row>
        <row r="27">
          <cell r="B27" t="str">
            <v>001003</v>
          </cell>
          <cell r="C27">
            <v>261.83999999999997</v>
          </cell>
          <cell r="D27">
            <v>585</v>
          </cell>
          <cell r="E27">
            <v>585</v>
          </cell>
        </row>
        <row r="28">
          <cell r="B28" t="str">
            <v>001004</v>
          </cell>
          <cell r="C28">
            <v>295.14</v>
          </cell>
          <cell r="D28">
            <v>610</v>
          </cell>
          <cell r="E28">
            <v>610</v>
          </cell>
        </row>
        <row r="29">
          <cell r="B29" t="str">
            <v>001017</v>
          </cell>
          <cell r="C29">
            <v>27.72</v>
          </cell>
          <cell r="D29">
            <v>60</v>
          </cell>
          <cell r="E29">
            <v>60</v>
          </cell>
        </row>
        <row r="30">
          <cell r="B30" t="str">
            <v>001033</v>
          </cell>
          <cell r="C30">
            <v>118.12</v>
          </cell>
          <cell r="D30">
            <v>260</v>
          </cell>
          <cell r="E30">
            <v>260</v>
          </cell>
        </row>
        <row r="31">
          <cell r="B31" t="str">
            <v>001018</v>
          </cell>
          <cell r="C31">
            <v>148.47</v>
          </cell>
          <cell r="D31">
            <v>380</v>
          </cell>
          <cell r="E31">
            <v>380</v>
          </cell>
        </row>
        <row r="32">
          <cell r="B32" t="str">
            <v>001019</v>
          </cell>
          <cell r="C32">
            <v>158.18</v>
          </cell>
          <cell r="D32">
            <v>400</v>
          </cell>
          <cell r="E32">
            <v>400</v>
          </cell>
        </row>
        <row r="33">
          <cell r="B33" t="str">
            <v>001031</v>
          </cell>
          <cell r="C33">
            <v>178.88</v>
          </cell>
          <cell r="D33">
            <v>420</v>
          </cell>
          <cell r="E33">
            <v>420</v>
          </cell>
        </row>
        <row r="34">
          <cell r="B34" t="str">
            <v>001014</v>
          </cell>
          <cell r="C34">
            <v>232.93</v>
          </cell>
          <cell r="D34">
            <v>480</v>
          </cell>
          <cell r="E34">
            <v>480</v>
          </cell>
        </row>
        <row r="35">
          <cell r="B35" t="str">
            <v>001015</v>
          </cell>
          <cell r="C35">
            <v>242</v>
          </cell>
          <cell r="D35">
            <v>500</v>
          </cell>
          <cell r="E35">
            <v>500</v>
          </cell>
        </row>
        <row r="36">
          <cell r="B36" t="str">
            <v>001016</v>
          </cell>
          <cell r="C36">
            <v>259.67</v>
          </cell>
          <cell r="D36">
            <v>530</v>
          </cell>
          <cell r="E36">
            <v>530</v>
          </cell>
        </row>
        <row r="37">
          <cell r="B37"/>
          <cell r="C37"/>
          <cell r="D37"/>
          <cell r="E37"/>
        </row>
        <row r="38">
          <cell r="B38"/>
          <cell r="C38"/>
          <cell r="D38"/>
          <cell r="E38"/>
        </row>
        <row r="39">
          <cell r="B39" t="str">
            <v>002096</v>
          </cell>
          <cell r="C39">
            <v>21.6</v>
          </cell>
          <cell r="D39">
            <v>42</v>
          </cell>
          <cell r="E39">
            <v>42</v>
          </cell>
        </row>
        <row r="40">
          <cell r="B40" t="str">
            <v>002058</v>
          </cell>
          <cell r="C40">
            <v>25</v>
          </cell>
          <cell r="D40">
            <v>52</v>
          </cell>
          <cell r="E40">
            <v>52</v>
          </cell>
        </row>
        <row r="41">
          <cell r="B41" t="str">
            <v>002152</v>
          </cell>
          <cell r="C41">
            <v>1</v>
          </cell>
          <cell r="D41">
            <v>2.2000000000000002</v>
          </cell>
          <cell r="E41">
            <v>2.2000000000000002</v>
          </cell>
        </row>
        <row r="42">
          <cell r="B42" t="str">
            <v>002112</v>
          </cell>
          <cell r="C42">
            <v>2.08</v>
          </cell>
          <cell r="D42">
            <v>4.5999999999999996</v>
          </cell>
          <cell r="E42">
            <v>4.5999999999999996</v>
          </cell>
        </row>
        <row r="43">
          <cell r="B43" t="str">
            <v>002061</v>
          </cell>
          <cell r="C43">
            <v>3.15</v>
          </cell>
          <cell r="D43">
            <v>7</v>
          </cell>
          <cell r="E43">
            <v>7</v>
          </cell>
        </row>
        <row r="44">
          <cell r="B44" t="str">
            <v>002059</v>
          </cell>
          <cell r="C44">
            <v>4.99</v>
          </cell>
          <cell r="D44">
            <v>11</v>
          </cell>
          <cell r="E44">
            <v>11</v>
          </cell>
        </row>
        <row r="45">
          <cell r="B45" t="str">
            <v>002060</v>
          </cell>
          <cell r="C45">
            <v>3.63</v>
          </cell>
          <cell r="D45">
            <v>8</v>
          </cell>
          <cell r="E45">
            <v>8</v>
          </cell>
        </row>
        <row r="46">
          <cell r="B46" t="str">
            <v>002163</v>
          </cell>
          <cell r="C46">
            <v>2.65</v>
          </cell>
          <cell r="D46">
            <v>5.5</v>
          </cell>
          <cell r="E46">
            <v>5.5</v>
          </cell>
        </row>
        <row r="47">
          <cell r="B47" t="str">
            <v>002064</v>
          </cell>
          <cell r="C47">
            <v>3.15</v>
          </cell>
          <cell r="D47">
            <v>7</v>
          </cell>
          <cell r="E47">
            <v>7</v>
          </cell>
        </row>
        <row r="48">
          <cell r="B48" t="str">
            <v>002062</v>
          </cell>
          <cell r="C48">
            <v>1.9</v>
          </cell>
          <cell r="D48">
            <v>4.5</v>
          </cell>
          <cell r="E48">
            <v>4.5</v>
          </cell>
        </row>
        <row r="49">
          <cell r="B49" t="str">
            <v>002153</v>
          </cell>
          <cell r="C49">
            <v>4.37</v>
          </cell>
          <cell r="D49">
            <v>10</v>
          </cell>
          <cell r="E49">
            <v>10</v>
          </cell>
        </row>
        <row r="50">
          <cell r="B50" t="str">
            <v>002076</v>
          </cell>
          <cell r="C50">
            <v>6.25</v>
          </cell>
          <cell r="D50">
            <v>14</v>
          </cell>
          <cell r="E50">
            <v>14</v>
          </cell>
        </row>
        <row r="51">
          <cell r="B51" t="str">
            <v>002077</v>
          </cell>
          <cell r="C51">
            <v>9.75</v>
          </cell>
          <cell r="D51">
            <v>22</v>
          </cell>
          <cell r="E51">
            <v>22</v>
          </cell>
        </row>
        <row r="52">
          <cell r="B52" t="str">
            <v>002164</v>
          </cell>
          <cell r="C52">
            <v>0.29799999999999999</v>
          </cell>
          <cell r="D52">
            <v>0.8</v>
          </cell>
          <cell r="E52">
            <v>0.8</v>
          </cell>
        </row>
        <row r="53">
          <cell r="B53" t="str">
            <v>002165</v>
          </cell>
          <cell r="C53">
            <v>0.36</v>
          </cell>
          <cell r="D53">
            <v>0.9</v>
          </cell>
          <cell r="E53">
            <v>0.9</v>
          </cell>
        </row>
        <row r="54">
          <cell r="B54" t="str">
            <v>002166</v>
          </cell>
          <cell r="C54">
            <v>0.46</v>
          </cell>
          <cell r="D54">
            <v>1.1000000000000001</v>
          </cell>
          <cell r="E54">
            <v>1.1000000000000001</v>
          </cell>
        </row>
        <row r="55">
          <cell r="B55" t="str">
            <v>002167</v>
          </cell>
          <cell r="C55">
            <v>0.55000000000000004</v>
          </cell>
          <cell r="D55">
            <v>1.3</v>
          </cell>
          <cell r="E55">
            <v>1.3</v>
          </cell>
        </row>
        <row r="56">
          <cell r="B56" t="str">
            <v>002168</v>
          </cell>
          <cell r="C56">
            <v>0.69</v>
          </cell>
          <cell r="D56">
            <v>1.7</v>
          </cell>
          <cell r="E56">
            <v>1.7</v>
          </cell>
        </row>
        <row r="57">
          <cell r="B57" t="str">
            <v>002169</v>
          </cell>
          <cell r="C57">
            <v>0.87</v>
          </cell>
          <cell r="D57">
            <v>2.1</v>
          </cell>
          <cell r="E57">
            <v>2.1</v>
          </cell>
        </row>
        <row r="58">
          <cell r="B58" t="str">
            <v>002173</v>
          </cell>
          <cell r="C58">
            <v>1.21</v>
          </cell>
          <cell r="D58">
            <v>2.9</v>
          </cell>
          <cell r="E58">
            <v>2.9</v>
          </cell>
        </row>
        <row r="59">
          <cell r="B59" t="str">
            <v>002154</v>
          </cell>
          <cell r="C59">
            <v>0.29799999999999999</v>
          </cell>
          <cell r="D59">
            <v>0.8</v>
          </cell>
          <cell r="E59">
            <v>0.8</v>
          </cell>
        </row>
        <row r="60">
          <cell r="B60" t="str">
            <v>002147</v>
          </cell>
          <cell r="C60">
            <v>0.36</v>
          </cell>
          <cell r="D60">
            <v>0.9</v>
          </cell>
          <cell r="E60">
            <v>0.9</v>
          </cell>
        </row>
        <row r="61">
          <cell r="B61" t="str">
            <v>002129</v>
          </cell>
          <cell r="C61">
            <v>0.46</v>
          </cell>
          <cell r="D61">
            <v>1.1000000000000001</v>
          </cell>
          <cell r="E61">
            <v>1.1000000000000001</v>
          </cell>
        </row>
        <row r="62">
          <cell r="B62" t="str">
            <v>002148</v>
          </cell>
          <cell r="C62">
            <v>0.55000000000000004</v>
          </cell>
          <cell r="D62">
            <v>1.3</v>
          </cell>
          <cell r="E62">
            <v>1.3</v>
          </cell>
        </row>
        <row r="63">
          <cell r="B63" t="str">
            <v>002130</v>
          </cell>
          <cell r="C63">
            <v>0.69</v>
          </cell>
          <cell r="D63">
            <v>1.7</v>
          </cell>
          <cell r="E63">
            <v>1.7</v>
          </cell>
        </row>
        <row r="64">
          <cell r="B64" t="str">
            <v>002131</v>
          </cell>
          <cell r="C64">
            <v>0.87</v>
          </cell>
          <cell r="D64">
            <v>2.1</v>
          </cell>
          <cell r="E64">
            <v>2.1</v>
          </cell>
        </row>
        <row r="65">
          <cell r="B65" t="str">
            <v>002162</v>
          </cell>
          <cell r="C65">
            <v>1.21</v>
          </cell>
          <cell r="D65">
            <v>2.9</v>
          </cell>
          <cell r="E65">
            <v>2.9</v>
          </cell>
        </row>
        <row r="66">
          <cell r="B66" t="str">
            <v>002016</v>
          </cell>
          <cell r="C66">
            <v>3.68</v>
          </cell>
          <cell r="D66">
            <v>10</v>
          </cell>
          <cell r="E66">
            <v>10</v>
          </cell>
        </row>
        <row r="67">
          <cell r="B67" t="str">
            <v>002017</v>
          </cell>
          <cell r="C67">
            <v>5.43</v>
          </cell>
          <cell r="D67">
            <v>22</v>
          </cell>
          <cell r="E67">
            <v>22</v>
          </cell>
        </row>
        <row r="68">
          <cell r="B68" t="str">
            <v>002018</v>
          </cell>
          <cell r="C68">
            <v>8.98</v>
          </cell>
          <cell r="D68">
            <v>22</v>
          </cell>
          <cell r="E68">
            <v>22</v>
          </cell>
        </row>
        <row r="69">
          <cell r="B69" t="str">
            <v>002019</v>
          </cell>
          <cell r="C69">
            <v>8.68</v>
          </cell>
          <cell r="D69">
            <v>26</v>
          </cell>
          <cell r="E69">
            <v>26</v>
          </cell>
        </row>
        <row r="70">
          <cell r="B70" t="str">
            <v>002020</v>
          </cell>
          <cell r="C70">
            <v>8.98</v>
          </cell>
          <cell r="D70">
            <v>30</v>
          </cell>
          <cell r="E70">
            <v>30</v>
          </cell>
        </row>
        <row r="71">
          <cell r="B71" t="str">
            <v>002021</v>
          </cell>
          <cell r="C71">
            <v>15</v>
          </cell>
          <cell r="D71">
            <v>42</v>
          </cell>
          <cell r="E71">
            <v>42</v>
          </cell>
        </row>
        <row r="72">
          <cell r="B72" t="str">
            <v>002022</v>
          </cell>
          <cell r="C72">
            <v>17.399999999999999</v>
          </cell>
          <cell r="D72">
            <v>46</v>
          </cell>
          <cell r="E72">
            <v>46</v>
          </cell>
        </row>
        <row r="73">
          <cell r="B73" t="str">
            <v>002023</v>
          </cell>
          <cell r="C73">
            <v>14.8</v>
          </cell>
          <cell r="D73">
            <v>40</v>
          </cell>
          <cell r="E73">
            <v>40</v>
          </cell>
        </row>
        <row r="74">
          <cell r="B74" t="str">
            <v>002024</v>
          </cell>
          <cell r="C74">
            <v>19.329999999999998</v>
          </cell>
          <cell r="D74">
            <v>54</v>
          </cell>
          <cell r="E74">
            <v>54</v>
          </cell>
        </row>
        <row r="75">
          <cell r="B75" t="str">
            <v>002025</v>
          </cell>
          <cell r="C75">
            <v>25.33</v>
          </cell>
          <cell r="D75">
            <v>70</v>
          </cell>
          <cell r="E75">
            <v>70</v>
          </cell>
        </row>
        <row r="76">
          <cell r="B76" t="str">
            <v>002026</v>
          </cell>
          <cell r="C76">
            <v>40.6</v>
          </cell>
          <cell r="D76">
            <v>100</v>
          </cell>
          <cell r="E76">
            <v>100</v>
          </cell>
        </row>
        <row r="77">
          <cell r="B77" t="str">
            <v>002027</v>
          </cell>
          <cell r="C77">
            <v>42.3</v>
          </cell>
          <cell r="D77">
            <v>108</v>
          </cell>
          <cell r="E77">
            <v>108</v>
          </cell>
        </row>
        <row r="78">
          <cell r="B78" t="str">
            <v>002046</v>
          </cell>
          <cell r="C78">
            <v>100</v>
          </cell>
          <cell r="D78">
            <v>190</v>
          </cell>
          <cell r="E78">
            <v>190</v>
          </cell>
        </row>
        <row r="79">
          <cell r="B79" t="str">
            <v>002145</v>
          </cell>
          <cell r="C79">
            <v>93</v>
          </cell>
          <cell r="D79">
            <v>210</v>
          </cell>
          <cell r="E79">
            <v>210</v>
          </cell>
        </row>
        <row r="80">
          <cell r="B80" t="str">
            <v>002047</v>
          </cell>
          <cell r="C80">
            <v>145</v>
          </cell>
          <cell r="D80">
            <v>240</v>
          </cell>
          <cell r="E80">
            <v>240</v>
          </cell>
        </row>
        <row r="81">
          <cell r="B81" t="str">
            <v>002044</v>
          </cell>
          <cell r="C81">
            <v>81</v>
          </cell>
          <cell r="D81">
            <v>140</v>
          </cell>
          <cell r="E81">
            <v>140</v>
          </cell>
        </row>
        <row r="82">
          <cell r="B82" t="str">
            <v>002045</v>
          </cell>
          <cell r="C82">
            <v>67</v>
          </cell>
          <cell r="D82">
            <v>150</v>
          </cell>
          <cell r="E82">
            <v>150</v>
          </cell>
        </row>
        <row r="83">
          <cell r="B83" t="str">
            <v>002002</v>
          </cell>
          <cell r="C83">
            <v>25</v>
          </cell>
          <cell r="D83">
            <v>58</v>
          </cell>
          <cell r="E83">
            <v>58</v>
          </cell>
        </row>
        <row r="84">
          <cell r="B84" t="str">
            <v>002069</v>
          </cell>
          <cell r="C84">
            <v>122.49</v>
          </cell>
          <cell r="D84">
            <v>180</v>
          </cell>
          <cell r="E84">
            <v>180</v>
          </cell>
        </row>
        <row r="85">
          <cell r="B85" t="str">
            <v>002028</v>
          </cell>
          <cell r="C85">
            <v>0.42</v>
          </cell>
          <cell r="D85">
            <v>1</v>
          </cell>
          <cell r="E85">
            <v>1</v>
          </cell>
        </row>
        <row r="86">
          <cell r="B86" t="str">
            <v>002029</v>
          </cell>
          <cell r="C86">
            <v>0.55000000000000004</v>
          </cell>
          <cell r="D86">
            <v>1.3</v>
          </cell>
          <cell r="E86">
            <v>1.3</v>
          </cell>
        </row>
        <row r="87">
          <cell r="B87" t="str">
            <v>002030</v>
          </cell>
          <cell r="C87">
            <v>0.76</v>
          </cell>
          <cell r="D87">
            <v>1.6</v>
          </cell>
          <cell r="E87">
            <v>1.6</v>
          </cell>
        </row>
        <row r="88">
          <cell r="B88" t="str">
            <v>002031</v>
          </cell>
          <cell r="C88">
            <v>0.7</v>
          </cell>
          <cell r="D88">
            <v>1.7</v>
          </cell>
          <cell r="E88">
            <v>1.7</v>
          </cell>
        </row>
        <row r="89">
          <cell r="B89" t="str">
            <v>002032</v>
          </cell>
          <cell r="C89">
            <v>0.83</v>
          </cell>
          <cell r="D89">
            <v>1.9</v>
          </cell>
          <cell r="E89">
            <v>1.9</v>
          </cell>
        </row>
        <row r="90">
          <cell r="B90" t="str">
            <v>002033</v>
          </cell>
          <cell r="C90">
            <v>0.92</v>
          </cell>
          <cell r="D90">
            <v>2.2000000000000002</v>
          </cell>
          <cell r="E90">
            <v>2.2000000000000002</v>
          </cell>
        </row>
        <row r="91">
          <cell r="B91" t="str">
            <v>002034</v>
          </cell>
          <cell r="C91">
            <v>0.78</v>
          </cell>
          <cell r="D91">
            <v>1.8</v>
          </cell>
          <cell r="E91">
            <v>1.8</v>
          </cell>
        </row>
        <row r="92">
          <cell r="B92" t="str">
            <v>002035</v>
          </cell>
          <cell r="C92">
            <v>0.87</v>
          </cell>
          <cell r="D92">
            <v>1.9</v>
          </cell>
          <cell r="E92">
            <v>1.9</v>
          </cell>
        </row>
        <row r="93">
          <cell r="B93" t="str">
            <v>002036</v>
          </cell>
          <cell r="C93">
            <v>1.03</v>
          </cell>
          <cell r="D93">
            <v>2.2999999999999998</v>
          </cell>
          <cell r="E93">
            <v>2.2999999999999998</v>
          </cell>
        </row>
        <row r="94">
          <cell r="B94" t="str">
            <v>002037</v>
          </cell>
          <cell r="C94">
            <v>1.1000000000000001</v>
          </cell>
          <cell r="D94">
            <v>2.8</v>
          </cell>
          <cell r="E94">
            <v>2.8</v>
          </cell>
        </row>
        <row r="95">
          <cell r="B95" t="str">
            <v>002038</v>
          </cell>
          <cell r="C95">
            <v>1.33</v>
          </cell>
          <cell r="D95">
            <v>3</v>
          </cell>
          <cell r="E95">
            <v>3</v>
          </cell>
        </row>
        <row r="96">
          <cell r="B96" t="str">
            <v>002039</v>
          </cell>
          <cell r="C96">
            <v>1.7</v>
          </cell>
          <cell r="D96">
            <v>3.8</v>
          </cell>
          <cell r="E96">
            <v>3.8</v>
          </cell>
        </row>
        <row r="97">
          <cell r="B97" t="str">
            <v>002040</v>
          </cell>
          <cell r="C97">
            <v>3</v>
          </cell>
          <cell r="D97">
            <v>7.5</v>
          </cell>
          <cell r="E97">
            <v>7.5</v>
          </cell>
        </row>
        <row r="98">
          <cell r="B98" t="str">
            <v>002157</v>
          </cell>
          <cell r="C98">
            <v>0.52</v>
          </cell>
          <cell r="D98">
            <v>1.2</v>
          </cell>
          <cell r="E98">
            <v>1.2</v>
          </cell>
        </row>
        <row r="99">
          <cell r="B99" t="str">
            <v>002158</v>
          </cell>
          <cell r="C99">
            <v>0.53800000000000003</v>
          </cell>
          <cell r="D99">
            <v>1.3</v>
          </cell>
          <cell r="E99">
            <v>1.3</v>
          </cell>
        </row>
        <row r="100">
          <cell r="B100" t="str">
            <v>002159</v>
          </cell>
          <cell r="C100">
            <v>0.62</v>
          </cell>
          <cell r="D100">
            <v>1.4</v>
          </cell>
          <cell r="E100">
            <v>1.4</v>
          </cell>
        </row>
        <row r="101">
          <cell r="B101" t="str">
            <v>002160</v>
          </cell>
          <cell r="C101">
            <v>0.74399999999999999</v>
          </cell>
          <cell r="D101">
            <v>1.8</v>
          </cell>
          <cell r="E101">
            <v>1.8</v>
          </cell>
        </row>
        <row r="102">
          <cell r="B102" t="str">
            <v>002041</v>
          </cell>
          <cell r="C102">
            <v>1</v>
          </cell>
          <cell r="D102">
            <v>3</v>
          </cell>
          <cell r="E102">
            <v>3</v>
          </cell>
        </row>
        <row r="103">
          <cell r="B103" t="str">
            <v>002042</v>
          </cell>
          <cell r="C103">
            <v>1.2</v>
          </cell>
          <cell r="D103">
            <v>3.2</v>
          </cell>
          <cell r="E103">
            <v>3.2</v>
          </cell>
        </row>
        <row r="104">
          <cell r="B104" t="str">
            <v>002043</v>
          </cell>
          <cell r="C104">
            <v>1.2749999999999999</v>
          </cell>
          <cell r="D104">
            <v>3.4</v>
          </cell>
          <cell r="E104">
            <v>3.4</v>
          </cell>
        </row>
        <row r="105">
          <cell r="B105" t="str">
            <v>002110</v>
          </cell>
          <cell r="C105">
            <v>1.9</v>
          </cell>
          <cell r="D105">
            <v>4.2</v>
          </cell>
          <cell r="E105">
            <v>4.2</v>
          </cell>
        </row>
        <row r="106">
          <cell r="B106" t="str">
            <v>002111</v>
          </cell>
          <cell r="C106">
            <v>1.86</v>
          </cell>
          <cell r="D106">
            <v>4.5</v>
          </cell>
          <cell r="E106">
            <v>4.5</v>
          </cell>
        </row>
        <row r="107">
          <cell r="B107" t="str">
            <v>002003</v>
          </cell>
          <cell r="C107">
            <v>1.66</v>
          </cell>
          <cell r="D107">
            <v>5</v>
          </cell>
          <cell r="E107">
            <v>5</v>
          </cell>
        </row>
        <row r="108">
          <cell r="B108" t="str">
            <v>002004</v>
          </cell>
          <cell r="C108">
            <v>1.94</v>
          </cell>
          <cell r="D108">
            <v>6</v>
          </cell>
          <cell r="E108">
            <v>6</v>
          </cell>
        </row>
        <row r="109">
          <cell r="B109" t="str">
            <v>002013</v>
          </cell>
          <cell r="C109">
            <v>30.15</v>
          </cell>
          <cell r="D109">
            <v>70</v>
          </cell>
          <cell r="E109">
            <v>70</v>
          </cell>
        </row>
        <row r="110">
          <cell r="B110" t="str">
            <v>002014</v>
          </cell>
          <cell r="C110">
            <v>47.32</v>
          </cell>
          <cell r="D110">
            <v>105</v>
          </cell>
          <cell r="E110">
            <v>105</v>
          </cell>
        </row>
        <row r="111">
          <cell r="B111" t="str">
            <v>002015</v>
          </cell>
          <cell r="C111">
            <v>54.32</v>
          </cell>
          <cell r="D111">
            <v>125</v>
          </cell>
          <cell r="E111">
            <v>125</v>
          </cell>
        </row>
        <row r="112">
          <cell r="B112" t="str">
            <v>002005</v>
          </cell>
          <cell r="C112">
            <v>3.12</v>
          </cell>
          <cell r="D112">
            <v>8</v>
          </cell>
          <cell r="E112">
            <v>8</v>
          </cell>
        </row>
        <row r="113">
          <cell r="B113" t="str">
            <v>002006</v>
          </cell>
          <cell r="C113">
            <v>3.72</v>
          </cell>
          <cell r="D113">
            <v>9</v>
          </cell>
          <cell r="E113">
            <v>9</v>
          </cell>
        </row>
        <row r="114">
          <cell r="B114" t="str">
            <v>002007</v>
          </cell>
          <cell r="C114">
            <v>4.82</v>
          </cell>
          <cell r="D114">
            <v>11</v>
          </cell>
          <cell r="E114">
            <v>11</v>
          </cell>
        </row>
        <row r="115">
          <cell r="B115" t="str">
            <v>002008</v>
          </cell>
          <cell r="C115">
            <v>5.69</v>
          </cell>
          <cell r="D115">
            <v>14</v>
          </cell>
          <cell r="E115">
            <v>14</v>
          </cell>
        </row>
        <row r="116">
          <cell r="B116" t="str">
            <v>002009</v>
          </cell>
          <cell r="C116">
            <v>7.52</v>
          </cell>
          <cell r="D116">
            <v>19</v>
          </cell>
          <cell r="E116">
            <v>19</v>
          </cell>
        </row>
        <row r="117">
          <cell r="B117" t="str">
            <v>002010</v>
          </cell>
          <cell r="C117">
            <v>11.32</v>
          </cell>
          <cell r="D117">
            <v>28</v>
          </cell>
          <cell r="E117">
            <v>28</v>
          </cell>
        </row>
        <row r="118">
          <cell r="B118" t="str">
            <v>002011</v>
          </cell>
          <cell r="C118">
            <v>15.89</v>
          </cell>
          <cell r="D118">
            <v>38</v>
          </cell>
          <cell r="E118">
            <v>38</v>
          </cell>
        </row>
        <row r="119">
          <cell r="B119" t="str">
            <v>002012</v>
          </cell>
          <cell r="C119">
            <v>21.04</v>
          </cell>
          <cell r="D119">
            <v>50</v>
          </cell>
          <cell r="E119">
            <v>50</v>
          </cell>
        </row>
        <row r="120">
          <cell r="B120" t="str">
            <v>002085</v>
          </cell>
          <cell r="C120">
            <v>0.41</v>
          </cell>
          <cell r="D120">
            <v>3</v>
          </cell>
          <cell r="E120">
            <v>3</v>
          </cell>
        </row>
        <row r="121">
          <cell r="B121" t="str">
            <v>002082</v>
          </cell>
          <cell r="C121">
            <v>0.41</v>
          </cell>
          <cell r="D121">
            <v>3</v>
          </cell>
          <cell r="E121">
            <v>3</v>
          </cell>
        </row>
        <row r="122">
          <cell r="B122" t="str">
            <v>002086</v>
          </cell>
          <cell r="C122">
            <v>1.68</v>
          </cell>
          <cell r="D122">
            <v>3</v>
          </cell>
          <cell r="E122">
            <v>3</v>
          </cell>
        </row>
        <row r="123">
          <cell r="B123" t="str">
            <v>002176</v>
          </cell>
          <cell r="C123">
            <v>1.93</v>
          </cell>
          <cell r="D123">
            <v>3.4</v>
          </cell>
          <cell r="E123">
            <v>3.4</v>
          </cell>
        </row>
        <row r="124">
          <cell r="B124" t="str">
            <v>002171</v>
          </cell>
          <cell r="C124">
            <v>1.98</v>
          </cell>
          <cell r="D124">
            <v>4.2</v>
          </cell>
          <cell r="E124">
            <v>4.2</v>
          </cell>
        </row>
        <row r="125">
          <cell r="B125" t="str">
            <v>002055</v>
          </cell>
          <cell r="C125">
            <v>13.5</v>
          </cell>
          <cell r="D125">
            <v>30</v>
          </cell>
          <cell r="E125">
            <v>30</v>
          </cell>
        </row>
        <row r="126">
          <cell r="B126" t="str">
            <v>002057</v>
          </cell>
          <cell r="C126">
            <v>63.5</v>
          </cell>
          <cell r="D126">
            <v>120</v>
          </cell>
          <cell r="E126">
            <v>120</v>
          </cell>
        </row>
        <row r="127">
          <cell r="B127" t="str">
            <v>002070</v>
          </cell>
          <cell r="C127">
            <v>42</v>
          </cell>
          <cell r="D127">
            <v>72</v>
          </cell>
          <cell r="E127">
            <v>72</v>
          </cell>
        </row>
        <row r="128">
          <cell r="B128" t="str">
            <v>002177</v>
          </cell>
          <cell r="C128">
            <v>1.07</v>
          </cell>
          <cell r="D128">
            <v>2.7</v>
          </cell>
          <cell r="E128">
            <v>2.7</v>
          </cell>
        </row>
        <row r="129">
          <cell r="B129" t="str">
            <v>002178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002135</v>
          </cell>
          <cell r="C130">
            <v>0.4</v>
          </cell>
          <cell r="D130">
            <v>1.6</v>
          </cell>
          <cell r="E130">
            <v>1.6</v>
          </cell>
        </row>
        <row r="131">
          <cell r="B131" t="str">
            <v>002134</v>
          </cell>
          <cell r="C131">
            <v>0.39</v>
          </cell>
          <cell r="D131">
            <v>1.3</v>
          </cell>
          <cell r="E131">
            <v>1.3</v>
          </cell>
        </row>
        <row r="132">
          <cell r="B132" t="str">
            <v>002133</v>
          </cell>
          <cell r="C132">
            <v>0.4</v>
          </cell>
          <cell r="D132">
            <v>1.6</v>
          </cell>
          <cell r="E132">
            <v>1.6</v>
          </cell>
        </row>
        <row r="133">
          <cell r="B133" t="str">
            <v>002132</v>
          </cell>
          <cell r="C133">
            <v>0.39</v>
          </cell>
          <cell r="D133">
            <v>1.3</v>
          </cell>
          <cell r="E133">
            <v>1.3</v>
          </cell>
        </row>
        <row r="134">
          <cell r="B134" t="str">
            <v>002150</v>
          </cell>
          <cell r="C134">
            <v>4.9000000000000004</v>
          </cell>
          <cell r="D134">
            <v>9.5</v>
          </cell>
          <cell r="E134">
            <v>9.5</v>
          </cell>
        </row>
        <row r="135">
          <cell r="B135" t="str">
            <v>002151</v>
          </cell>
          <cell r="C135">
            <v>6</v>
          </cell>
          <cell r="D135">
            <v>12</v>
          </cell>
          <cell r="E135">
            <v>12</v>
          </cell>
        </row>
        <row r="136">
          <cell r="B136" t="str">
            <v>002127</v>
          </cell>
          <cell r="C136">
            <v>40</v>
          </cell>
          <cell r="D136">
            <v>76</v>
          </cell>
          <cell r="E136">
            <v>76</v>
          </cell>
        </row>
        <row r="137">
          <cell r="B137" t="str">
            <v>002146</v>
          </cell>
          <cell r="C137">
            <v>40</v>
          </cell>
          <cell r="D137">
            <v>76</v>
          </cell>
          <cell r="E137">
            <v>76</v>
          </cell>
        </row>
        <row r="138">
          <cell r="B138" t="str">
            <v>002071</v>
          </cell>
          <cell r="C138">
            <v>0.1</v>
          </cell>
          <cell r="D138">
            <v>0.4</v>
          </cell>
          <cell r="E138">
            <v>0.4</v>
          </cell>
        </row>
        <row r="139">
          <cell r="B139" t="str">
            <v>002072</v>
          </cell>
          <cell r="C139">
            <v>0.14000000000000001</v>
          </cell>
          <cell r="D139">
            <v>0.5</v>
          </cell>
          <cell r="E139">
            <v>0.5</v>
          </cell>
        </row>
        <row r="140">
          <cell r="B140" t="str">
            <v>002172</v>
          </cell>
          <cell r="C140">
            <v>0.1</v>
          </cell>
          <cell r="D140">
            <v>0.7</v>
          </cell>
          <cell r="E140">
            <v>0.7</v>
          </cell>
        </row>
        <row r="141">
          <cell r="B141" t="str">
            <v>002078</v>
          </cell>
          <cell r="C141">
            <v>0.28000000000000003</v>
          </cell>
          <cell r="D141">
            <v>0.8</v>
          </cell>
          <cell r="E141">
            <v>0.8</v>
          </cell>
        </row>
        <row r="142">
          <cell r="B142" t="str">
            <v>002179</v>
          </cell>
          <cell r="C142">
            <v>0.59</v>
          </cell>
          <cell r="D142">
            <v>1.25</v>
          </cell>
          <cell r="E142">
            <v>1.25</v>
          </cell>
        </row>
        <row r="143">
          <cell r="B143" t="str">
            <v>002073</v>
          </cell>
          <cell r="C143">
            <v>0.39</v>
          </cell>
          <cell r="D143">
            <v>1</v>
          </cell>
          <cell r="E143">
            <v>1</v>
          </cell>
        </row>
        <row r="144">
          <cell r="B144" t="str">
            <v>002180</v>
          </cell>
          <cell r="C144">
            <v>0.8</v>
          </cell>
          <cell r="D144">
            <v>1.6</v>
          </cell>
          <cell r="E144">
            <v>1.6</v>
          </cell>
        </row>
        <row r="145">
          <cell r="B145" t="str">
            <v>002074</v>
          </cell>
          <cell r="C145">
            <v>0.33</v>
          </cell>
          <cell r="D145">
            <v>1.2</v>
          </cell>
          <cell r="E145">
            <v>1.2</v>
          </cell>
        </row>
        <row r="146">
          <cell r="B146" t="str">
            <v>002170</v>
          </cell>
          <cell r="C146">
            <v>0.65</v>
          </cell>
          <cell r="D146">
            <v>1.4</v>
          </cell>
          <cell r="E146">
            <v>1.4</v>
          </cell>
        </row>
        <row r="147">
          <cell r="B147" t="str">
            <v>002181</v>
          </cell>
          <cell r="C147">
            <v>1.2</v>
          </cell>
          <cell r="D147">
            <v>2.4</v>
          </cell>
          <cell r="E147">
            <v>2.4</v>
          </cell>
        </row>
        <row r="148">
          <cell r="B148" t="str">
            <v>002175</v>
          </cell>
          <cell r="C148">
            <v>0.84</v>
          </cell>
          <cell r="D148">
            <v>2.1</v>
          </cell>
          <cell r="E148">
            <v>2.1</v>
          </cell>
        </row>
        <row r="149">
          <cell r="B149" t="str">
            <v>002075</v>
          </cell>
          <cell r="C149">
            <v>0.87</v>
          </cell>
          <cell r="D149">
            <v>2.2000000000000002</v>
          </cell>
          <cell r="E149">
            <v>2.2000000000000002</v>
          </cell>
        </row>
        <row r="150">
          <cell r="B150" t="str">
            <v>002174</v>
          </cell>
          <cell r="C150">
            <v>1.1000000000000001</v>
          </cell>
          <cell r="D150">
            <v>3.5</v>
          </cell>
          <cell r="E150">
            <v>3.5</v>
          </cell>
        </row>
        <row r="151">
          <cell r="B151" t="str">
            <v>002161</v>
          </cell>
          <cell r="C151">
            <v>0.51</v>
          </cell>
          <cell r="D151">
            <v>2.5</v>
          </cell>
          <cell r="E151">
            <v>2.5</v>
          </cell>
        </row>
        <row r="152">
          <cell r="B152" t="str">
            <v>002120</v>
          </cell>
          <cell r="C152">
            <v>1.05</v>
          </cell>
          <cell r="D152">
            <v>2.5</v>
          </cell>
          <cell r="E152">
            <v>2.5</v>
          </cell>
        </row>
        <row r="153">
          <cell r="B153" t="str">
            <v>002121</v>
          </cell>
          <cell r="C153">
            <v>1.4</v>
          </cell>
          <cell r="D153">
            <v>3</v>
          </cell>
          <cell r="E153">
            <v>3</v>
          </cell>
        </row>
        <row r="154">
          <cell r="B154" t="str">
            <v>002122</v>
          </cell>
          <cell r="C154">
            <v>1.55</v>
          </cell>
          <cell r="D154">
            <v>4</v>
          </cell>
          <cell r="E154">
            <v>4</v>
          </cell>
        </row>
        <row r="155">
          <cell r="B155" t="str">
            <v>002123</v>
          </cell>
          <cell r="C155">
            <v>1.98</v>
          </cell>
          <cell r="D155">
            <v>5</v>
          </cell>
          <cell r="E155">
            <v>5</v>
          </cell>
        </row>
        <row r="156">
          <cell r="B156" t="str">
            <v>002119</v>
          </cell>
          <cell r="C156">
            <v>2.5</v>
          </cell>
          <cell r="D156">
            <v>6</v>
          </cell>
          <cell r="E156">
            <v>6</v>
          </cell>
        </row>
        <row r="157">
          <cell r="B157" t="str">
            <v>002124</v>
          </cell>
          <cell r="C157">
            <v>2.9</v>
          </cell>
          <cell r="D157">
            <v>7</v>
          </cell>
          <cell r="E157">
            <v>7</v>
          </cell>
        </row>
        <row r="158">
          <cell r="B158" t="str">
            <v>002125</v>
          </cell>
          <cell r="C158">
            <v>3.8</v>
          </cell>
          <cell r="D158">
            <v>8</v>
          </cell>
          <cell r="E158">
            <v>8</v>
          </cell>
        </row>
        <row r="159">
          <cell r="B159" t="str">
            <v>002126</v>
          </cell>
          <cell r="C159">
            <v>4.9000000000000004</v>
          </cell>
          <cell r="D159">
            <v>11</v>
          </cell>
          <cell r="E159">
            <v>11</v>
          </cell>
        </row>
        <row r="160">
          <cell r="B160" t="str">
            <v>002136</v>
          </cell>
          <cell r="C160">
            <v>6.95</v>
          </cell>
          <cell r="D160">
            <v>15</v>
          </cell>
          <cell r="E160">
            <v>15</v>
          </cell>
        </row>
        <row r="161">
          <cell r="B161" t="str">
            <v>002139</v>
          </cell>
          <cell r="C161">
            <v>1.2</v>
          </cell>
          <cell r="D161">
            <v>3</v>
          </cell>
          <cell r="E161">
            <v>3</v>
          </cell>
        </row>
        <row r="162">
          <cell r="B162" t="str">
            <v>002138</v>
          </cell>
          <cell r="C162">
            <v>1.2</v>
          </cell>
          <cell r="D162">
            <v>3</v>
          </cell>
          <cell r="E162">
            <v>3</v>
          </cell>
        </row>
        <row r="163">
          <cell r="B163" t="str">
            <v>002137</v>
          </cell>
          <cell r="C163">
            <v>1.2</v>
          </cell>
          <cell r="D163">
            <v>3</v>
          </cell>
          <cell r="E163">
            <v>3</v>
          </cell>
        </row>
        <row r="164">
          <cell r="B164" t="str">
            <v>002142</v>
          </cell>
          <cell r="C164">
            <v>1.4</v>
          </cell>
          <cell r="D164">
            <v>3.5</v>
          </cell>
          <cell r="E164">
            <v>3.5</v>
          </cell>
        </row>
        <row r="165">
          <cell r="B165" t="str">
            <v>002141</v>
          </cell>
          <cell r="C165">
            <v>1.4</v>
          </cell>
          <cell r="D165">
            <v>3.5</v>
          </cell>
          <cell r="E165">
            <v>3.5</v>
          </cell>
        </row>
        <row r="166">
          <cell r="B166" t="str">
            <v>002140</v>
          </cell>
          <cell r="C166">
            <v>1.4</v>
          </cell>
          <cell r="D166">
            <v>3.5</v>
          </cell>
          <cell r="E166">
            <v>3.5</v>
          </cell>
        </row>
        <row r="167">
          <cell r="B167"/>
          <cell r="C167"/>
          <cell r="D167"/>
          <cell r="E167"/>
        </row>
        <row r="168">
          <cell r="B168"/>
          <cell r="C168"/>
          <cell r="D168"/>
          <cell r="E168"/>
        </row>
        <row r="169">
          <cell r="B169" t="str">
            <v>003001</v>
          </cell>
          <cell r="C169">
            <v>10</v>
          </cell>
          <cell r="D169">
            <v>25</v>
          </cell>
          <cell r="E169">
            <v>25</v>
          </cell>
        </row>
        <row r="170">
          <cell r="B170" t="str">
            <v>003005</v>
          </cell>
          <cell r="C170">
            <v>50</v>
          </cell>
          <cell r="D170">
            <v>120</v>
          </cell>
          <cell r="E170">
            <v>120</v>
          </cell>
        </row>
        <row r="171">
          <cell r="B171" t="str">
            <v>003002</v>
          </cell>
          <cell r="C171">
            <v>0</v>
          </cell>
          <cell r="D171">
            <v>0</v>
          </cell>
          <cell r="E171">
            <v>0</v>
          </cell>
        </row>
        <row r="172">
          <cell r="B172" t="str">
            <v>003003</v>
          </cell>
          <cell r="C172">
            <v>10</v>
          </cell>
          <cell r="D172">
            <v>25</v>
          </cell>
          <cell r="E172">
            <v>25</v>
          </cell>
        </row>
        <row r="173">
          <cell r="B173" t="str">
            <v>003004</v>
          </cell>
          <cell r="C173">
            <v>45</v>
          </cell>
          <cell r="D173">
            <v>120</v>
          </cell>
          <cell r="E173">
            <v>120</v>
          </cell>
        </row>
        <row r="174">
          <cell r="B174"/>
          <cell r="C174"/>
          <cell r="D174"/>
          <cell r="E174"/>
        </row>
        <row r="175">
          <cell r="B175"/>
          <cell r="C175"/>
          <cell r="D175"/>
          <cell r="E175"/>
        </row>
        <row r="176">
          <cell r="B176" t="str">
            <v>004040</v>
          </cell>
          <cell r="C176">
            <v>19.600000000000001</v>
          </cell>
          <cell r="D176">
            <v>43</v>
          </cell>
          <cell r="E176">
            <v>43</v>
          </cell>
        </row>
        <row r="177">
          <cell r="B177" t="str">
            <v>004041</v>
          </cell>
          <cell r="C177">
            <v>27</v>
          </cell>
          <cell r="D177">
            <v>58</v>
          </cell>
          <cell r="E177">
            <v>58</v>
          </cell>
        </row>
        <row r="178">
          <cell r="B178" t="str">
            <v>004001</v>
          </cell>
          <cell r="C178">
            <v>23.9</v>
          </cell>
          <cell r="D178">
            <v>35</v>
          </cell>
          <cell r="E178">
            <v>35</v>
          </cell>
        </row>
        <row r="179">
          <cell r="B179" t="str">
            <v>004039</v>
          </cell>
          <cell r="C179">
            <v>12.3</v>
          </cell>
          <cell r="D179">
            <v>26</v>
          </cell>
          <cell r="E179">
            <v>26</v>
          </cell>
        </row>
        <row r="180">
          <cell r="B180" t="str">
            <v>004002</v>
          </cell>
          <cell r="C180">
            <v>0.68</v>
          </cell>
          <cell r="D180">
            <v>1.6</v>
          </cell>
          <cell r="E180">
            <v>1.6</v>
          </cell>
        </row>
        <row r="181">
          <cell r="B181" t="str">
            <v>004024</v>
          </cell>
          <cell r="C181">
            <v>1.075</v>
          </cell>
          <cell r="D181">
            <v>2.6</v>
          </cell>
          <cell r="E181">
            <v>2.6</v>
          </cell>
        </row>
        <row r="182">
          <cell r="B182" t="str">
            <v>004003</v>
          </cell>
          <cell r="C182">
            <v>0.66</v>
          </cell>
          <cell r="D182">
            <v>1.7</v>
          </cell>
          <cell r="E182">
            <v>1.7</v>
          </cell>
        </row>
        <row r="183">
          <cell r="B183" t="str">
            <v>004004</v>
          </cell>
          <cell r="C183">
            <v>0.79</v>
          </cell>
          <cell r="D183">
            <v>1.9</v>
          </cell>
          <cell r="E183">
            <v>1.9</v>
          </cell>
        </row>
        <row r="184">
          <cell r="B184" t="str">
            <v>004005</v>
          </cell>
          <cell r="C184">
            <v>0.85</v>
          </cell>
          <cell r="D184">
            <v>2.2999999999999998</v>
          </cell>
          <cell r="E184">
            <v>2.2999999999999998</v>
          </cell>
        </row>
        <row r="185">
          <cell r="B185" t="str">
            <v>004006</v>
          </cell>
          <cell r="C185">
            <v>0.9</v>
          </cell>
          <cell r="D185">
            <v>2.5</v>
          </cell>
          <cell r="E185">
            <v>2.5</v>
          </cell>
        </row>
        <row r="186">
          <cell r="B186" t="str">
            <v>004008</v>
          </cell>
          <cell r="C186">
            <v>1.61</v>
          </cell>
          <cell r="D186">
            <v>3.6</v>
          </cell>
          <cell r="E186">
            <v>3.6</v>
          </cell>
        </row>
        <row r="187">
          <cell r="B187" t="str">
            <v>004007</v>
          </cell>
          <cell r="C187">
            <v>1.59</v>
          </cell>
          <cell r="D187">
            <v>3.7</v>
          </cell>
          <cell r="E187">
            <v>3.7</v>
          </cell>
        </row>
        <row r="188">
          <cell r="B188" t="str">
            <v>004038</v>
          </cell>
          <cell r="C188">
            <v>0.73499999999999999</v>
          </cell>
          <cell r="D188">
            <v>1.6</v>
          </cell>
          <cell r="E188">
            <v>1.6</v>
          </cell>
        </row>
        <row r="189">
          <cell r="B189" t="str">
            <v>004042</v>
          </cell>
          <cell r="C189">
            <v>0</v>
          </cell>
          <cell r="D189">
            <v>0</v>
          </cell>
          <cell r="E189">
            <v>0</v>
          </cell>
        </row>
        <row r="190">
          <cell r="B190" t="str">
            <v>004013</v>
          </cell>
          <cell r="C190">
            <v>7.4</v>
          </cell>
          <cell r="D190">
            <v>18</v>
          </cell>
          <cell r="E190">
            <v>18</v>
          </cell>
        </row>
        <row r="191">
          <cell r="B191" t="str">
            <v>004012</v>
          </cell>
          <cell r="C191">
            <v>8.1</v>
          </cell>
          <cell r="D191">
            <v>20</v>
          </cell>
          <cell r="E191">
            <v>20</v>
          </cell>
        </row>
        <row r="192">
          <cell r="B192" t="str">
            <v>004011</v>
          </cell>
          <cell r="C192">
            <v>9.6</v>
          </cell>
          <cell r="D192">
            <v>25</v>
          </cell>
          <cell r="E192">
            <v>25</v>
          </cell>
        </row>
        <row r="193">
          <cell r="B193" t="str">
            <v>004044</v>
          </cell>
          <cell r="C193">
            <v>4.8</v>
          </cell>
          <cell r="D193">
            <v>18</v>
          </cell>
          <cell r="E193">
            <v>18</v>
          </cell>
        </row>
        <row r="194">
          <cell r="B194" t="str">
            <v>004045</v>
          </cell>
          <cell r="C194">
            <v>5.8</v>
          </cell>
          <cell r="D194">
            <v>20</v>
          </cell>
          <cell r="E194">
            <v>20</v>
          </cell>
        </row>
        <row r="195">
          <cell r="B195" t="str">
            <v>004046</v>
          </cell>
          <cell r="C195">
            <v>7.5</v>
          </cell>
          <cell r="D195">
            <v>23</v>
          </cell>
          <cell r="E195">
            <v>23</v>
          </cell>
        </row>
        <row r="196">
          <cell r="B196" t="str">
            <v>004026</v>
          </cell>
          <cell r="C196">
            <v>7.4</v>
          </cell>
          <cell r="D196">
            <v>18</v>
          </cell>
          <cell r="E196">
            <v>18</v>
          </cell>
        </row>
        <row r="197">
          <cell r="B197" t="str">
            <v>004027</v>
          </cell>
          <cell r="C197">
            <v>8.1</v>
          </cell>
          <cell r="D197">
            <v>20</v>
          </cell>
          <cell r="E197">
            <v>20</v>
          </cell>
        </row>
        <row r="198">
          <cell r="B198" t="str">
            <v>004028</v>
          </cell>
          <cell r="C198">
            <v>9.6</v>
          </cell>
          <cell r="D198">
            <v>25</v>
          </cell>
          <cell r="E198">
            <v>25</v>
          </cell>
        </row>
        <row r="199">
          <cell r="B199" t="str">
            <v>004036</v>
          </cell>
          <cell r="C199">
            <v>5.85</v>
          </cell>
          <cell r="D199">
            <v>12</v>
          </cell>
          <cell r="E199">
            <v>12</v>
          </cell>
        </row>
        <row r="200">
          <cell r="B200" t="str">
            <v>004037</v>
          </cell>
          <cell r="C200">
            <v>7.4</v>
          </cell>
          <cell r="D200">
            <v>14</v>
          </cell>
          <cell r="E200">
            <v>14</v>
          </cell>
        </row>
        <row r="201">
          <cell r="B201" t="str">
            <v>004050</v>
          </cell>
          <cell r="C201">
            <v>3.1</v>
          </cell>
          <cell r="D201">
            <v>0</v>
          </cell>
          <cell r="E201">
            <v>0</v>
          </cell>
        </row>
        <row r="202">
          <cell r="B202" t="str">
            <v>004043</v>
          </cell>
          <cell r="C202">
            <v>0.82</v>
          </cell>
          <cell r="D202">
            <v>2</v>
          </cell>
          <cell r="E202">
            <v>2</v>
          </cell>
        </row>
        <row r="203">
          <cell r="B203" t="str">
            <v>004017</v>
          </cell>
          <cell r="C203">
            <v>0.7</v>
          </cell>
          <cell r="D203">
            <v>2.4</v>
          </cell>
          <cell r="E203">
            <v>2.4</v>
          </cell>
        </row>
        <row r="204">
          <cell r="B204" t="str">
            <v>004016</v>
          </cell>
          <cell r="C204">
            <v>1.2</v>
          </cell>
          <cell r="D204">
            <v>2.8</v>
          </cell>
          <cell r="E204">
            <v>2.8</v>
          </cell>
        </row>
        <row r="205">
          <cell r="B205" t="str">
            <v>004029</v>
          </cell>
          <cell r="C205">
            <v>0.84</v>
          </cell>
          <cell r="D205">
            <v>3.2</v>
          </cell>
          <cell r="E205">
            <v>3.2</v>
          </cell>
        </row>
        <row r="206">
          <cell r="B206" t="str">
            <v>004018</v>
          </cell>
          <cell r="C206">
            <v>1.6</v>
          </cell>
          <cell r="D206">
            <v>3.4</v>
          </cell>
          <cell r="E206">
            <v>3.4</v>
          </cell>
        </row>
        <row r="207">
          <cell r="B207" t="str">
            <v>004049</v>
          </cell>
          <cell r="C207">
            <v>1.1200000000000001</v>
          </cell>
          <cell r="D207">
            <v>2.8</v>
          </cell>
          <cell r="E207">
            <v>2.8</v>
          </cell>
        </row>
        <row r="208">
          <cell r="B208" t="str">
            <v>004048</v>
          </cell>
          <cell r="C208">
            <v>1.2</v>
          </cell>
          <cell r="D208">
            <v>3.2</v>
          </cell>
          <cell r="E208">
            <v>3.2</v>
          </cell>
        </row>
        <row r="209">
          <cell r="B209" t="str">
            <v>004047</v>
          </cell>
          <cell r="C209">
            <v>2.2000000000000002</v>
          </cell>
          <cell r="D209">
            <v>4</v>
          </cell>
          <cell r="E209">
            <v>4</v>
          </cell>
        </row>
        <row r="210">
          <cell r="B210" t="str">
            <v>004032</v>
          </cell>
          <cell r="C210">
            <v>3.6</v>
          </cell>
          <cell r="D210">
            <v>6.3</v>
          </cell>
          <cell r="E210">
            <v>6.3</v>
          </cell>
        </row>
        <row r="211">
          <cell r="B211" t="str">
            <v>004033</v>
          </cell>
          <cell r="C211">
            <v>4.8</v>
          </cell>
          <cell r="D211">
            <v>8.4</v>
          </cell>
          <cell r="E211">
            <v>8.4</v>
          </cell>
        </row>
        <row r="212">
          <cell r="B212" t="str">
            <v>004034</v>
          </cell>
          <cell r="C212">
            <v>5.7</v>
          </cell>
          <cell r="D212">
            <v>10</v>
          </cell>
          <cell r="E212">
            <v>10</v>
          </cell>
        </row>
        <row r="213">
          <cell r="B213" t="str">
            <v>004023</v>
          </cell>
          <cell r="C213">
            <v>2.9</v>
          </cell>
          <cell r="D213">
            <v>8</v>
          </cell>
          <cell r="E213">
            <v>8</v>
          </cell>
        </row>
        <row r="214">
          <cell r="B214" t="str">
            <v>004030</v>
          </cell>
          <cell r="C214">
            <v>1.95</v>
          </cell>
          <cell r="D214">
            <v>7</v>
          </cell>
          <cell r="E214">
            <v>7</v>
          </cell>
        </row>
        <row r="215">
          <cell r="B215" t="str">
            <v>004051</v>
          </cell>
          <cell r="C215">
            <v>2.4</v>
          </cell>
          <cell r="D215">
            <v>4</v>
          </cell>
          <cell r="E215">
            <v>4</v>
          </cell>
        </row>
        <row r="216">
          <cell r="B216" t="str">
            <v>004052</v>
          </cell>
          <cell r="C216">
            <v>4.25</v>
          </cell>
          <cell r="D216">
            <v>6.3</v>
          </cell>
          <cell r="E216">
            <v>6.3</v>
          </cell>
        </row>
        <row r="217">
          <cell r="B217"/>
          <cell r="C217"/>
          <cell r="D217"/>
          <cell r="E217"/>
        </row>
        <row r="218">
          <cell r="B218"/>
          <cell r="C218"/>
          <cell r="D218"/>
          <cell r="E218"/>
        </row>
        <row r="219">
          <cell r="B219" t="str">
            <v>005016</v>
          </cell>
          <cell r="C219">
            <v>0</v>
          </cell>
          <cell r="D219">
            <v>0</v>
          </cell>
          <cell r="E219">
            <v>0</v>
          </cell>
        </row>
        <row r="220">
          <cell r="B220" t="str">
            <v>005054</v>
          </cell>
          <cell r="C220">
            <v>12</v>
          </cell>
          <cell r="D220">
            <v>44</v>
          </cell>
          <cell r="E220">
            <v>44</v>
          </cell>
        </row>
        <row r="221">
          <cell r="B221" t="str">
            <v>005053</v>
          </cell>
          <cell r="C221">
            <v>7</v>
          </cell>
          <cell r="D221">
            <v>26</v>
          </cell>
          <cell r="E221">
            <v>26</v>
          </cell>
        </row>
        <row r="222">
          <cell r="B222" t="str">
            <v>005017</v>
          </cell>
          <cell r="C222">
            <v>28</v>
          </cell>
          <cell r="D222">
            <v>35</v>
          </cell>
          <cell r="E222">
            <v>35</v>
          </cell>
        </row>
        <row r="223">
          <cell r="B223" t="str">
            <v>005058</v>
          </cell>
          <cell r="C223">
            <v>0</v>
          </cell>
          <cell r="D223">
            <v>0</v>
          </cell>
          <cell r="E223">
            <v>0</v>
          </cell>
        </row>
        <row r="224">
          <cell r="B224" t="str">
            <v>005049</v>
          </cell>
          <cell r="C224">
            <v>0</v>
          </cell>
          <cell r="D224">
            <v>0</v>
          </cell>
          <cell r="E224">
            <v>0</v>
          </cell>
        </row>
        <row r="225">
          <cell r="B225" t="str">
            <v>005046</v>
          </cell>
          <cell r="C225">
            <v>0</v>
          </cell>
          <cell r="D225">
            <v>0</v>
          </cell>
          <cell r="E225">
            <v>0</v>
          </cell>
        </row>
        <row r="226">
          <cell r="B226" t="str">
            <v>005014</v>
          </cell>
          <cell r="C226">
            <v>0</v>
          </cell>
          <cell r="D226">
            <v>0</v>
          </cell>
          <cell r="E226">
            <v>0</v>
          </cell>
        </row>
        <row r="227">
          <cell r="B227" t="str">
            <v>005002</v>
          </cell>
          <cell r="C227">
            <v>0</v>
          </cell>
          <cell r="D227">
            <v>0</v>
          </cell>
          <cell r="E227">
            <v>0</v>
          </cell>
        </row>
        <row r="228">
          <cell r="B228" t="str">
            <v>005001</v>
          </cell>
          <cell r="C228">
            <v>0</v>
          </cell>
          <cell r="D228">
            <v>0</v>
          </cell>
          <cell r="E228">
            <v>0</v>
          </cell>
        </row>
        <row r="229">
          <cell r="B229" t="str">
            <v>005006</v>
          </cell>
          <cell r="C229">
            <v>22</v>
          </cell>
          <cell r="D229">
            <v>52</v>
          </cell>
          <cell r="E229">
            <v>52</v>
          </cell>
        </row>
        <row r="230">
          <cell r="B230" t="str">
            <v>005013</v>
          </cell>
          <cell r="C230">
            <v>7</v>
          </cell>
          <cell r="D230">
            <v>20</v>
          </cell>
          <cell r="E230">
            <v>20</v>
          </cell>
        </row>
        <row r="231">
          <cell r="B231" t="str">
            <v>005022</v>
          </cell>
          <cell r="C231">
            <v>22.7</v>
          </cell>
          <cell r="D231">
            <v>55</v>
          </cell>
          <cell r="E231">
            <v>55</v>
          </cell>
        </row>
        <row r="232">
          <cell r="B232" t="str">
            <v>005004</v>
          </cell>
          <cell r="C232">
            <v>40</v>
          </cell>
          <cell r="D232">
            <v>108</v>
          </cell>
          <cell r="E232">
            <v>108</v>
          </cell>
        </row>
        <row r="233">
          <cell r="B233" t="str">
            <v>005005</v>
          </cell>
          <cell r="C233">
            <v>0</v>
          </cell>
          <cell r="D233">
            <v>0</v>
          </cell>
          <cell r="E233">
            <v>0</v>
          </cell>
        </row>
        <row r="234">
          <cell r="B234" t="str">
            <v>005011</v>
          </cell>
          <cell r="C234">
            <v>6</v>
          </cell>
          <cell r="D234">
            <v>12</v>
          </cell>
          <cell r="E234">
            <v>12</v>
          </cell>
        </row>
        <row r="235">
          <cell r="B235" t="str">
            <v>005003</v>
          </cell>
          <cell r="C235">
            <v>19.899999999999999</v>
          </cell>
          <cell r="D235">
            <v>54</v>
          </cell>
          <cell r="E235">
            <v>54</v>
          </cell>
        </row>
        <row r="236">
          <cell r="B236" t="str">
            <v>005050</v>
          </cell>
          <cell r="C236">
            <v>0</v>
          </cell>
          <cell r="D236">
            <v>0</v>
          </cell>
          <cell r="E236">
            <v>0</v>
          </cell>
        </row>
        <row r="237">
          <cell r="B237" t="str">
            <v>005010</v>
          </cell>
          <cell r="C237">
            <v>4</v>
          </cell>
          <cell r="D237">
            <v>10</v>
          </cell>
          <cell r="E237">
            <v>10</v>
          </cell>
        </row>
        <row r="238">
          <cell r="B238" t="str">
            <v>005015</v>
          </cell>
          <cell r="C238">
            <v>30</v>
          </cell>
          <cell r="D238">
            <v>60</v>
          </cell>
          <cell r="E238">
            <v>60</v>
          </cell>
        </row>
        <row r="239">
          <cell r="B239" t="str">
            <v>005008</v>
          </cell>
          <cell r="C239">
            <v>9.5</v>
          </cell>
          <cell r="D239">
            <v>19</v>
          </cell>
          <cell r="E239">
            <v>19</v>
          </cell>
        </row>
        <row r="240">
          <cell r="B240" t="str">
            <v>005009</v>
          </cell>
          <cell r="C240">
            <v>0</v>
          </cell>
          <cell r="D240">
            <v>0</v>
          </cell>
          <cell r="E240">
            <v>0</v>
          </cell>
        </row>
        <row r="241">
          <cell r="B241" t="str">
            <v>005007</v>
          </cell>
          <cell r="C241">
            <v>7</v>
          </cell>
          <cell r="D241">
            <v>14</v>
          </cell>
          <cell r="E241">
            <v>14</v>
          </cell>
        </row>
        <row r="242">
          <cell r="B242" t="str">
            <v>005057</v>
          </cell>
          <cell r="C242">
            <v>15</v>
          </cell>
          <cell r="D242">
            <v>95</v>
          </cell>
          <cell r="E242">
            <v>95</v>
          </cell>
        </row>
        <row r="243">
          <cell r="B243" t="str">
            <v>005056</v>
          </cell>
          <cell r="C243">
            <v>7.25</v>
          </cell>
          <cell r="D243">
            <v>0</v>
          </cell>
          <cell r="E243">
            <v>0</v>
          </cell>
        </row>
        <row r="244">
          <cell r="B244" t="str">
            <v>005042</v>
          </cell>
          <cell r="C244">
            <v>38.97</v>
          </cell>
          <cell r="D244">
            <v>90</v>
          </cell>
          <cell r="E244">
            <v>90</v>
          </cell>
        </row>
        <row r="245">
          <cell r="B245" t="str">
            <v>005043</v>
          </cell>
          <cell r="C245">
            <v>34.729999999999997</v>
          </cell>
          <cell r="D245">
            <v>120</v>
          </cell>
          <cell r="E245">
            <v>120</v>
          </cell>
        </row>
        <row r="246">
          <cell r="B246" t="str">
            <v>005047</v>
          </cell>
          <cell r="C246">
            <v>57.85</v>
          </cell>
          <cell r="D246">
            <v>150</v>
          </cell>
          <cell r="E246">
            <v>150</v>
          </cell>
        </row>
        <row r="247">
          <cell r="B247" t="str">
            <v>005045</v>
          </cell>
          <cell r="C247">
            <v>74.36</v>
          </cell>
          <cell r="D247">
            <v>180</v>
          </cell>
          <cell r="E247">
            <v>180</v>
          </cell>
        </row>
        <row r="248">
          <cell r="B248" t="str">
            <v>005052</v>
          </cell>
          <cell r="C248">
            <v>44.1</v>
          </cell>
          <cell r="D248">
            <v>200</v>
          </cell>
          <cell r="E248">
            <v>200</v>
          </cell>
        </row>
        <row r="249">
          <cell r="B249" t="str">
            <v>005018</v>
          </cell>
          <cell r="C249">
            <v>28</v>
          </cell>
          <cell r="D249">
            <v>0</v>
          </cell>
          <cell r="E249">
            <v>0</v>
          </cell>
        </row>
        <row r="250">
          <cell r="B250" t="str">
            <v>005020</v>
          </cell>
          <cell r="C250">
            <v>0</v>
          </cell>
          <cell r="D250">
            <v>0</v>
          </cell>
          <cell r="E250">
            <v>0</v>
          </cell>
        </row>
        <row r="251">
          <cell r="B251" t="str">
            <v>005019</v>
          </cell>
          <cell r="C251">
            <v>35</v>
          </cell>
          <cell r="D251">
            <v>0</v>
          </cell>
          <cell r="E251">
            <v>0</v>
          </cell>
        </row>
        <row r="252">
          <cell r="B252" t="str">
            <v>005021</v>
          </cell>
          <cell r="C252">
            <v>89</v>
          </cell>
          <cell r="D252">
            <v>0</v>
          </cell>
          <cell r="E252">
            <v>0</v>
          </cell>
        </row>
        <row r="253">
          <cell r="B253" t="str">
            <v>005055</v>
          </cell>
          <cell r="C253">
            <v>51</v>
          </cell>
          <cell r="D253">
            <v>120</v>
          </cell>
          <cell r="E253">
            <v>120</v>
          </cell>
        </row>
        <row r="254">
          <cell r="B254"/>
          <cell r="C254"/>
          <cell r="D254"/>
          <cell r="E254"/>
        </row>
        <row r="255">
          <cell r="B255"/>
          <cell r="C255"/>
          <cell r="D255"/>
          <cell r="E255"/>
        </row>
        <row r="256">
          <cell r="B256" t="str">
            <v>006016</v>
          </cell>
          <cell r="C256">
            <v>45</v>
          </cell>
          <cell r="D256">
            <v>90</v>
          </cell>
          <cell r="E256">
            <v>90</v>
          </cell>
        </row>
        <row r="257">
          <cell r="B257" t="str">
            <v>006015</v>
          </cell>
          <cell r="C257">
            <v>40</v>
          </cell>
          <cell r="D257">
            <v>80</v>
          </cell>
          <cell r="E257">
            <v>80</v>
          </cell>
        </row>
        <row r="258">
          <cell r="B258" t="str">
            <v>006105</v>
          </cell>
          <cell r="C258">
            <v>11.02</v>
          </cell>
          <cell r="D258">
            <v>30</v>
          </cell>
          <cell r="E258">
            <v>30</v>
          </cell>
        </row>
        <row r="259">
          <cell r="B259" t="str">
            <v>006020</v>
          </cell>
          <cell r="C259">
            <v>213</v>
          </cell>
          <cell r="D259">
            <v>400</v>
          </cell>
          <cell r="E259">
            <v>400</v>
          </cell>
        </row>
        <row r="260">
          <cell r="B260" t="str">
            <v>006006</v>
          </cell>
          <cell r="C260">
            <v>12.41</v>
          </cell>
          <cell r="D260">
            <v>30</v>
          </cell>
          <cell r="E260">
            <v>30</v>
          </cell>
        </row>
        <row r="261">
          <cell r="B261" t="str">
            <v>006021</v>
          </cell>
          <cell r="C261">
            <v>10</v>
          </cell>
          <cell r="D261">
            <v>25</v>
          </cell>
          <cell r="E261">
            <v>25</v>
          </cell>
        </row>
        <row r="262">
          <cell r="B262" t="str">
            <v>006022</v>
          </cell>
          <cell r="C262">
            <v>6</v>
          </cell>
          <cell r="D262">
            <v>16</v>
          </cell>
          <cell r="E262">
            <v>16</v>
          </cell>
        </row>
        <row r="263">
          <cell r="B263" t="str">
            <v>006151</v>
          </cell>
          <cell r="C263">
            <v>32.5</v>
          </cell>
          <cell r="D263">
            <v>50</v>
          </cell>
          <cell r="E263">
            <v>50</v>
          </cell>
        </row>
        <row r="264">
          <cell r="B264" t="str">
            <v>006143</v>
          </cell>
          <cell r="C264">
            <v>12.99</v>
          </cell>
          <cell r="D264">
            <v>40</v>
          </cell>
          <cell r="E264">
            <v>40</v>
          </cell>
        </row>
        <row r="265">
          <cell r="B265" t="str">
            <v>006065</v>
          </cell>
          <cell r="C265">
            <v>1.1000000000000001</v>
          </cell>
          <cell r="D265">
            <v>3</v>
          </cell>
          <cell r="E265">
            <v>3</v>
          </cell>
        </row>
        <row r="266">
          <cell r="B266" t="str">
            <v>006078</v>
          </cell>
          <cell r="C266">
            <v>5</v>
          </cell>
          <cell r="D266">
            <v>12</v>
          </cell>
          <cell r="E266">
            <v>12</v>
          </cell>
        </row>
        <row r="267">
          <cell r="B267" t="str">
            <v>006106</v>
          </cell>
          <cell r="C267">
            <v>2.21</v>
          </cell>
          <cell r="D267">
            <v>5</v>
          </cell>
          <cell r="E267">
            <v>5</v>
          </cell>
        </row>
        <row r="268">
          <cell r="B268" t="str">
            <v>006017</v>
          </cell>
          <cell r="C268">
            <v>80</v>
          </cell>
          <cell r="D268">
            <v>160</v>
          </cell>
          <cell r="E268">
            <v>160</v>
          </cell>
        </row>
        <row r="269">
          <cell r="B269" t="str">
            <v>006077</v>
          </cell>
          <cell r="C269">
            <v>15</v>
          </cell>
          <cell r="D269">
            <v>32</v>
          </cell>
          <cell r="E269">
            <v>32</v>
          </cell>
        </row>
        <row r="270">
          <cell r="B270" t="str">
            <v>006004</v>
          </cell>
          <cell r="C270">
            <v>1.4</v>
          </cell>
          <cell r="D270">
            <v>15</v>
          </cell>
          <cell r="E270">
            <v>15</v>
          </cell>
        </row>
        <row r="271">
          <cell r="B271" t="str">
            <v>006011</v>
          </cell>
          <cell r="C271">
            <v>5.0999999999999996</v>
          </cell>
          <cell r="D271">
            <v>25</v>
          </cell>
          <cell r="E271">
            <v>25</v>
          </cell>
        </row>
        <row r="272">
          <cell r="B272" t="str">
            <v>006010</v>
          </cell>
          <cell r="C272">
            <v>17.7</v>
          </cell>
          <cell r="D272">
            <v>65</v>
          </cell>
          <cell r="E272">
            <v>65</v>
          </cell>
        </row>
        <row r="273">
          <cell r="B273" t="str">
            <v>006062</v>
          </cell>
          <cell r="C273">
            <v>4.5</v>
          </cell>
          <cell r="D273">
            <v>13</v>
          </cell>
          <cell r="E273">
            <v>13</v>
          </cell>
        </row>
        <row r="274">
          <cell r="B274" t="str">
            <v>006009</v>
          </cell>
          <cell r="C274">
            <v>30.5</v>
          </cell>
          <cell r="D274">
            <v>65</v>
          </cell>
          <cell r="E274">
            <v>65</v>
          </cell>
        </row>
        <row r="275">
          <cell r="B275" t="str">
            <v>006061</v>
          </cell>
          <cell r="C275">
            <v>4.5</v>
          </cell>
          <cell r="D275">
            <v>13</v>
          </cell>
          <cell r="E275">
            <v>13</v>
          </cell>
        </row>
        <row r="276">
          <cell r="B276" t="str">
            <v>006072</v>
          </cell>
          <cell r="C276">
            <v>4.8</v>
          </cell>
          <cell r="D276">
            <v>11</v>
          </cell>
          <cell r="E276">
            <v>11</v>
          </cell>
        </row>
        <row r="277">
          <cell r="B277" t="str">
            <v>006073</v>
          </cell>
          <cell r="C277">
            <v>35.9</v>
          </cell>
          <cell r="D277">
            <v>76</v>
          </cell>
          <cell r="E277">
            <v>76</v>
          </cell>
        </row>
        <row r="278">
          <cell r="B278" t="str">
            <v>006071</v>
          </cell>
          <cell r="C278">
            <v>8.5</v>
          </cell>
          <cell r="D278">
            <v>18</v>
          </cell>
          <cell r="E278">
            <v>18</v>
          </cell>
        </row>
        <row r="279">
          <cell r="B279" t="str">
            <v>006074</v>
          </cell>
          <cell r="C279">
            <v>54</v>
          </cell>
          <cell r="D279">
            <v>111</v>
          </cell>
          <cell r="E279">
            <v>111</v>
          </cell>
        </row>
        <row r="280">
          <cell r="B280" t="str">
            <v>006069</v>
          </cell>
          <cell r="C280">
            <v>12.9</v>
          </cell>
          <cell r="D280">
            <v>28</v>
          </cell>
          <cell r="E280">
            <v>28</v>
          </cell>
        </row>
        <row r="281">
          <cell r="B281" t="str">
            <v>006070</v>
          </cell>
          <cell r="C281">
            <v>28.9</v>
          </cell>
          <cell r="D281">
            <v>61</v>
          </cell>
          <cell r="E281">
            <v>61</v>
          </cell>
        </row>
        <row r="282">
          <cell r="B282" t="str">
            <v>006068</v>
          </cell>
          <cell r="C282">
            <v>21.2</v>
          </cell>
          <cell r="D282">
            <v>45</v>
          </cell>
          <cell r="E282">
            <v>45</v>
          </cell>
        </row>
        <row r="283">
          <cell r="B283" t="str">
            <v>006029</v>
          </cell>
          <cell r="C283">
            <v>46.95</v>
          </cell>
          <cell r="D283">
            <v>129</v>
          </cell>
          <cell r="E283">
            <v>129</v>
          </cell>
        </row>
        <row r="284">
          <cell r="B284" t="str">
            <v>006028</v>
          </cell>
          <cell r="C284">
            <v>45.5</v>
          </cell>
          <cell r="D284">
            <v>0</v>
          </cell>
          <cell r="E284">
            <v>0</v>
          </cell>
        </row>
        <row r="285">
          <cell r="B285" t="str">
            <v>006007</v>
          </cell>
          <cell r="C285">
            <v>29.2</v>
          </cell>
          <cell r="D285">
            <v>68</v>
          </cell>
          <cell r="E285">
            <v>68</v>
          </cell>
        </row>
        <row r="286">
          <cell r="B286" t="str">
            <v>006008</v>
          </cell>
          <cell r="C286">
            <v>15.15</v>
          </cell>
          <cell r="D286">
            <v>45</v>
          </cell>
          <cell r="E286">
            <v>45</v>
          </cell>
        </row>
        <row r="287">
          <cell r="B287" t="str">
            <v>006148</v>
          </cell>
          <cell r="C287">
            <v>12.65</v>
          </cell>
          <cell r="D287">
            <v>35</v>
          </cell>
          <cell r="E287">
            <v>35</v>
          </cell>
        </row>
        <row r="288">
          <cell r="B288" t="str">
            <v>006149</v>
          </cell>
          <cell r="C288">
            <v>14.72</v>
          </cell>
          <cell r="D288">
            <v>35</v>
          </cell>
          <cell r="E288">
            <v>35</v>
          </cell>
        </row>
        <row r="289">
          <cell r="B289" t="str">
            <v>006150</v>
          </cell>
          <cell r="C289">
            <v>12.62</v>
          </cell>
          <cell r="D289">
            <v>35</v>
          </cell>
          <cell r="E289">
            <v>35</v>
          </cell>
        </row>
        <row r="290">
          <cell r="B290" t="str">
            <v>006019</v>
          </cell>
          <cell r="C290">
            <v>16.22</v>
          </cell>
          <cell r="D290">
            <v>40</v>
          </cell>
          <cell r="E290">
            <v>40</v>
          </cell>
        </row>
        <row r="291">
          <cell r="B291" t="str">
            <v>006018</v>
          </cell>
          <cell r="C291">
            <v>14.85</v>
          </cell>
          <cell r="D291">
            <v>38</v>
          </cell>
          <cell r="E291">
            <v>38</v>
          </cell>
        </row>
        <row r="292">
          <cell r="B292" t="str">
            <v>006109</v>
          </cell>
          <cell r="C292">
            <v>1.51</v>
          </cell>
          <cell r="D292">
            <v>4</v>
          </cell>
          <cell r="E292">
            <v>4</v>
          </cell>
        </row>
        <row r="293">
          <cell r="B293" t="str">
            <v>006144</v>
          </cell>
          <cell r="C293">
            <v>29.7</v>
          </cell>
          <cell r="D293">
            <v>65</v>
          </cell>
          <cell r="E293">
            <v>65</v>
          </cell>
        </row>
        <row r="294">
          <cell r="B294" t="str">
            <v>006084</v>
          </cell>
          <cell r="C294">
            <v>32</v>
          </cell>
          <cell r="D294">
            <v>68</v>
          </cell>
          <cell r="E294">
            <v>68</v>
          </cell>
        </row>
        <row r="295">
          <cell r="B295" t="str">
            <v>006083</v>
          </cell>
          <cell r="C295">
            <v>9.9</v>
          </cell>
          <cell r="D295">
            <v>21</v>
          </cell>
          <cell r="E295">
            <v>21</v>
          </cell>
        </row>
        <row r="296">
          <cell r="B296" t="str">
            <v>006080</v>
          </cell>
          <cell r="C296">
            <v>3.1</v>
          </cell>
          <cell r="D296">
            <v>7</v>
          </cell>
          <cell r="E296">
            <v>7</v>
          </cell>
        </row>
        <row r="297">
          <cell r="B297" t="str">
            <v>006079</v>
          </cell>
          <cell r="C297">
            <v>10.8</v>
          </cell>
          <cell r="D297">
            <v>23</v>
          </cell>
          <cell r="E297">
            <v>23</v>
          </cell>
        </row>
        <row r="298">
          <cell r="B298" t="str">
            <v>006112</v>
          </cell>
          <cell r="C298">
            <v>25.56</v>
          </cell>
          <cell r="D298">
            <v>54</v>
          </cell>
          <cell r="E298">
            <v>54</v>
          </cell>
        </row>
        <row r="299">
          <cell r="B299" t="str">
            <v>006113</v>
          </cell>
          <cell r="C299">
            <v>25.56</v>
          </cell>
          <cell r="D299">
            <v>54</v>
          </cell>
          <cell r="E299">
            <v>54</v>
          </cell>
        </row>
        <row r="300">
          <cell r="B300" t="str">
            <v>006114</v>
          </cell>
          <cell r="C300">
            <v>25.56</v>
          </cell>
          <cell r="D300">
            <v>54</v>
          </cell>
          <cell r="E300">
            <v>54</v>
          </cell>
        </row>
        <row r="301">
          <cell r="B301" t="str">
            <v>006001</v>
          </cell>
          <cell r="C301">
            <v>21</v>
          </cell>
          <cell r="D301">
            <v>42</v>
          </cell>
          <cell r="E301">
            <v>42</v>
          </cell>
        </row>
        <row r="302">
          <cell r="B302" t="str">
            <v>006063</v>
          </cell>
          <cell r="C302">
            <v>54</v>
          </cell>
          <cell r="D302">
            <v>94</v>
          </cell>
          <cell r="E302">
            <v>94</v>
          </cell>
        </row>
        <row r="303">
          <cell r="B303" t="str">
            <v>006023</v>
          </cell>
          <cell r="C303">
            <v>16.559999999999999</v>
          </cell>
          <cell r="D303">
            <v>36</v>
          </cell>
          <cell r="E303">
            <v>36</v>
          </cell>
        </row>
        <row r="304">
          <cell r="B304" t="str">
            <v>006064</v>
          </cell>
          <cell r="C304">
            <v>5</v>
          </cell>
          <cell r="D304">
            <v>11</v>
          </cell>
          <cell r="E304">
            <v>11</v>
          </cell>
        </row>
        <row r="305">
          <cell r="B305" t="str">
            <v>006059</v>
          </cell>
          <cell r="C305">
            <v>8</v>
          </cell>
          <cell r="D305">
            <v>23</v>
          </cell>
          <cell r="E305">
            <v>23</v>
          </cell>
        </row>
        <row r="306">
          <cell r="B306" t="str">
            <v>006012</v>
          </cell>
          <cell r="C306">
            <v>40</v>
          </cell>
          <cell r="D306">
            <v>75</v>
          </cell>
          <cell r="E306">
            <v>75</v>
          </cell>
        </row>
        <row r="307">
          <cell r="B307" t="str">
            <v>006060</v>
          </cell>
          <cell r="C307">
            <v>4</v>
          </cell>
          <cell r="D307">
            <v>12</v>
          </cell>
          <cell r="E307">
            <v>12</v>
          </cell>
        </row>
        <row r="308">
          <cell r="B308" t="str">
            <v>006003</v>
          </cell>
          <cell r="C308">
            <v>17.45</v>
          </cell>
          <cell r="D308">
            <v>45</v>
          </cell>
          <cell r="E308">
            <v>45</v>
          </cell>
        </row>
        <row r="309">
          <cell r="B309" t="str">
            <v>006002</v>
          </cell>
          <cell r="C309">
            <v>11</v>
          </cell>
          <cell r="D309">
            <v>22</v>
          </cell>
          <cell r="E309">
            <v>22</v>
          </cell>
        </row>
        <row r="310">
          <cell r="B310" t="str">
            <v>006147</v>
          </cell>
          <cell r="C310">
            <v>140</v>
          </cell>
          <cell r="D310">
            <v>140</v>
          </cell>
          <cell r="E310">
            <v>140</v>
          </cell>
        </row>
        <row r="311">
          <cell r="B311" t="str">
            <v>006089</v>
          </cell>
          <cell r="C311">
            <v>18</v>
          </cell>
          <cell r="D311">
            <v>38</v>
          </cell>
          <cell r="E311">
            <v>38</v>
          </cell>
        </row>
        <row r="312">
          <cell r="B312" t="str">
            <v>006090</v>
          </cell>
          <cell r="C312">
            <v>13</v>
          </cell>
          <cell r="D312">
            <v>28</v>
          </cell>
          <cell r="E312">
            <v>28</v>
          </cell>
        </row>
        <row r="313">
          <cell r="B313" t="str">
            <v>006005</v>
          </cell>
          <cell r="C313">
            <v>1.5</v>
          </cell>
          <cell r="D313">
            <v>5</v>
          </cell>
          <cell r="E313">
            <v>5</v>
          </cell>
        </row>
        <row r="314">
          <cell r="B314" t="str">
            <v>006026</v>
          </cell>
          <cell r="C314">
            <v>0</v>
          </cell>
          <cell r="D314">
            <v>0</v>
          </cell>
          <cell r="E314">
            <v>0</v>
          </cell>
        </row>
        <row r="315">
          <cell r="B315" t="str">
            <v>006134</v>
          </cell>
          <cell r="C315">
            <v>11.12</v>
          </cell>
          <cell r="D315">
            <v>24</v>
          </cell>
          <cell r="E315">
            <v>24</v>
          </cell>
        </row>
        <row r="316">
          <cell r="B316" t="str">
            <v>006136</v>
          </cell>
          <cell r="C316">
            <v>2.23</v>
          </cell>
          <cell r="D316">
            <v>5</v>
          </cell>
          <cell r="E316">
            <v>5</v>
          </cell>
        </row>
        <row r="317">
          <cell r="B317" t="str">
            <v>006014</v>
          </cell>
          <cell r="C317">
            <v>4</v>
          </cell>
          <cell r="D317">
            <v>8</v>
          </cell>
          <cell r="E317">
            <v>8</v>
          </cell>
        </row>
        <row r="318">
          <cell r="B318" t="str">
            <v>006013</v>
          </cell>
          <cell r="C318">
            <v>32</v>
          </cell>
          <cell r="D318">
            <v>70</v>
          </cell>
          <cell r="E318">
            <v>70</v>
          </cell>
        </row>
        <row r="319">
          <cell r="B319" t="str">
            <v>006013</v>
          </cell>
          <cell r="C319">
            <v>32</v>
          </cell>
          <cell r="D319">
            <v>70</v>
          </cell>
          <cell r="E319">
            <v>70</v>
          </cell>
        </row>
        <row r="320">
          <cell r="B320"/>
          <cell r="C320"/>
          <cell r="D320"/>
          <cell r="E320"/>
        </row>
        <row r="321">
          <cell r="B321"/>
          <cell r="C321"/>
          <cell r="D321"/>
          <cell r="E321">
            <v>0</v>
          </cell>
        </row>
        <row r="322">
          <cell r="B322" t="str">
            <v>001000</v>
          </cell>
          <cell r="C322">
            <v>0</v>
          </cell>
          <cell r="D322">
            <v>0</v>
          </cell>
          <cell r="E322">
            <v>0</v>
          </cell>
        </row>
        <row r="323">
          <cell r="B323">
            <v>8001</v>
          </cell>
          <cell r="C323">
            <v>0</v>
          </cell>
          <cell r="D323">
            <v>0</v>
          </cell>
          <cell r="E323">
            <v>0</v>
          </cell>
        </row>
        <row r="324">
          <cell r="B324">
            <v>7001</v>
          </cell>
          <cell r="C324">
            <v>0</v>
          </cell>
          <cell r="D324">
            <v>90</v>
          </cell>
          <cell r="E324">
            <v>90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3F05-A300-439D-B28B-FB1AF4041653}">
  <dimension ref="B1:P361"/>
  <sheetViews>
    <sheetView tabSelected="1" topLeftCell="A148" workbookViewId="0">
      <selection activeCell="E171" sqref="E171:P171"/>
    </sheetView>
  </sheetViews>
  <sheetFormatPr defaultRowHeight="15" x14ac:dyDescent="0.25"/>
  <cols>
    <col min="5" max="5" width="47.5703125" style="9" bestFit="1" customWidth="1"/>
    <col min="6" max="8" width="19.7109375" style="9" customWidth="1"/>
    <col min="9" max="9" width="25.7109375" style="10" customWidth="1"/>
    <col min="10" max="10" width="12.85546875" style="11" bestFit="1" customWidth="1"/>
    <col min="11" max="14" width="11.5703125" style="11" bestFit="1" customWidth="1"/>
    <col min="15" max="15" width="11.5703125" style="11" customWidth="1"/>
    <col min="16" max="16" width="11.5703125" style="11" bestFit="1" customWidth="1"/>
  </cols>
  <sheetData>
    <row r="1" spans="2:16" x14ac:dyDescent="0.25">
      <c r="E1" s="1" t="s">
        <v>0</v>
      </c>
      <c r="F1" s="1"/>
      <c r="G1" s="1"/>
      <c r="H1" s="1"/>
      <c r="I1" s="1" t="s">
        <v>1</v>
      </c>
      <c r="J1" s="2" t="s">
        <v>2</v>
      </c>
      <c r="K1" s="2"/>
      <c r="L1" s="2"/>
      <c r="M1" s="2"/>
      <c r="N1" s="2"/>
      <c r="O1" s="2"/>
      <c r="P1" s="2"/>
    </row>
    <row r="2" spans="2:16" x14ac:dyDescent="0.25">
      <c r="E2" s="1" t="s">
        <v>3</v>
      </c>
      <c r="F2" s="1"/>
      <c r="G2" s="1"/>
      <c r="H2" s="1"/>
      <c r="I2" s="1" t="s">
        <v>4</v>
      </c>
      <c r="J2" s="2"/>
      <c r="K2" s="2"/>
      <c r="L2" s="2"/>
      <c r="M2" s="2"/>
      <c r="N2" s="2"/>
      <c r="O2" s="2"/>
      <c r="P2" s="2"/>
    </row>
    <row r="3" spans="2:16" x14ac:dyDescent="0.25">
      <c r="E3" s="1" t="s">
        <v>5</v>
      </c>
      <c r="F3" s="1"/>
      <c r="G3" s="1"/>
      <c r="H3" s="1"/>
      <c r="I3" s="1" t="s">
        <v>6</v>
      </c>
      <c r="J3" s="2"/>
      <c r="K3" s="2"/>
      <c r="L3" s="2"/>
      <c r="M3" s="2"/>
      <c r="N3" s="2"/>
      <c r="O3" s="2"/>
      <c r="P3" s="2"/>
    </row>
    <row r="4" spans="2:16" x14ac:dyDescent="0.25"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</row>
    <row r="5" spans="2:16" x14ac:dyDescent="0.25">
      <c r="E5" s="1"/>
      <c r="F5" s="1"/>
      <c r="G5" s="1"/>
      <c r="H5" s="1"/>
      <c r="I5" s="1" t="s">
        <v>7</v>
      </c>
      <c r="J5" s="2"/>
      <c r="K5" s="2"/>
      <c r="L5" s="2"/>
      <c r="M5" s="2"/>
      <c r="N5" s="2"/>
      <c r="O5" s="2"/>
      <c r="P5" s="2"/>
    </row>
    <row r="7" spans="2:16" x14ac:dyDescent="0.25">
      <c r="E7" s="3" t="s">
        <v>8</v>
      </c>
      <c r="F7" s="3" t="s">
        <v>9</v>
      </c>
      <c r="G7" s="3" t="s">
        <v>10</v>
      </c>
      <c r="H7" s="12" t="s">
        <v>258</v>
      </c>
      <c r="I7" s="4" t="s">
        <v>11</v>
      </c>
      <c r="J7" s="13" t="s">
        <v>17</v>
      </c>
      <c r="K7" s="13" t="s">
        <v>16</v>
      </c>
      <c r="L7" s="13" t="s">
        <v>15</v>
      </c>
      <c r="M7" s="13" t="s">
        <v>14</v>
      </c>
      <c r="N7" s="13" t="s">
        <v>259</v>
      </c>
      <c r="O7" s="13" t="s">
        <v>13</v>
      </c>
      <c r="P7" s="13" t="s">
        <v>12</v>
      </c>
    </row>
    <row r="8" spans="2:16" x14ac:dyDescent="0.25">
      <c r="B8" s="18"/>
      <c r="C8" s="18"/>
      <c r="D8" s="18"/>
      <c r="E8" s="6" t="s">
        <v>18</v>
      </c>
      <c r="F8" s="6" t="s">
        <v>19</v>
      </c>
      <c r="G8" s="6" t="s">
        <v>20</v>
      </c>
      <c r="H8" s="14">
        <f>VLOOKUP($F8,[1]PRODUTOS!$B:$E,2,0)</f>
        <v>1</v>
      </c>
      <c r="I8" s="7">
        <f>VLOOKUP($F8,[1]PRODUTOS!$B:$E,3,0)</f>
        <v>2.2000000000000002</v>
      </c>
      <c r="J8" s="8">
        <f>ROUND($P8*1.6,1)</f>
        <v>2.6</v>
      </c>
      <c r="K8" s="8">
        <f>ROUND($P8*1.5,1)</f>
        <v>2.4</v>
      </c>
      <c r="L8" s="8">
        <f>ROUND($P8*1.4,1)</f>
        <v>2.2000000000000002</v>
      </c>
      <c r="M8" s="8">
        <f>ROUND($P8*1.3,1)</f>
        <v>2.1</v>
      </c>
      <c r="N8" s="8">
        <f>ROUND($P8*1.2,1)</f>
        <v>1.9</v>
      </c>
      <c r="O8" s="8">
        <f>ROUND($P8*1.1,1)</f>
        <v>1.8</v>
      </c>
      <c r="P8" s="8">
        <f>ROUNDUP($H8*1.6,1)</f>
        <v>1.6</v>
      </c>
    </row>
    <row r="9" spans="2:16" x14ac:dyDescent="0.25">
      <c r="B9" s="18"/>
      <c r="C9" s="18"/>
      <c r="D9" s="18"/>
      <c r="E9" s="6" t="s">
        <v>21</v>
      </c>
      <c r="F9" s="6" t="s">
        <v>22</v>
      </c>
      <c r="G9" s="6" t="s">
        <v>20</v>
      </c>
      <c r="H9" s="14">
        <f>VLOOKUP($F9,[1]PRODUTOS!$B:$E,2,0)</f>
        <v>2.08</v>
      </c>
      <c r="I9" s="7">
        <f>VLOOKUP($F9,[1]PRODUTOS!$B:$E,3,0)</f>
        <v>4.5999999999999996</v>
      </c>
      <c r="J9" s="8">
        <f t="shared" ref="J9:J18" si="0">ROUND($P9*1.6,1)</f>
        <v>5.4</v>
      </c>
      <c r="K9" s="8">
        <f t="shared" ref="K9:K18" si="1">ROUND($P9*1.5,1)</f>
        <v>5.0999999999999996</v>
      </c>
      <c r="L9" s="8">
        <f t="shared" ref="L9:L18" si="2">ROUND($P9*1.4,1)</f>
        <v>4.8</v>
      </c>
      <c r="M9" s="8">
        <f t="shared" ref="M9:M18" si="3">ROUND($P9*1.3,1)</f>
        <v>4.4000000000000004</v>
      </c>
      <c r="N9" s="8">
        <f t="shared" ref="N9:N18" si="4">ROUND($P9*1.2,1)</f>
        <v>4.0999999999999996</v>
      </c>
      <c r="O9" s="8">
        <f t="shared" ref="O9:O18" si="5">ROUND($P9*1.1,1)</f>
        <v>3.7</v>
      </c>
      <c r="P9" s="8">
        <f t="shared" ref="P9:P18" si="6">ROUNDUP($H9*1.6,1)</f>
        <v>3.4</v>
      </c>
    </row>
    <row r="10" spans="2:16" x14ac:dyDescent="0.25">
      <c r="B10" s="18"/>
      <c r="C10" s="18"/>
      <c r="D10" s="18"/>
      <c r="E10" s="6" t="s">
        <v>23</v>
      </c>
      <c r="F10" s="6" t="s">
        <v>24</v>
      </c>
      <c r="G10" s="6" t="s">
        <v>20</v>
      </c>
      <c r="H10" s="14">
        <f>VLOOKUP($F10,[1]PRODUTOS!$B:$E,2,0)</f>
        <v>3.15</v>
      </c>
      <c r="I10" s="7">
        <f>VLOOKUP($F10,[1]PRODUTOS!$B:$E,3,0)</f>
        <v>7</v>
      </c>
      <c r="J10" s="8">
        <f t="shared" si="0"/>
        <v>8.1999999999999993</v>
      </c>
      <c r="K10" s="8">
        <f t="shared" si="1"/>
        <v>7.7</v>
      </c>
      <c r="L10" s="8">
        <f t="shared" si="2"/>
        <v>7.1</v>
      </c>
      <c r="M10" s="8">
        <f t="shared" si="3"/>
        <v>6.6</v>
      </c>
      <c r="N10" s="8">
        <f t="shared" si="4"/>
        <v>6.1</v>
      </c>
      <c r="O10" s="8">
        <f t="shared" si="5"/>
        <v>5.6</v>
      </c>
      <c r="P10" s="8">
        <f t="shared" si="6"/>
        <v>5.0999999999999996</v>
      </c>
    </row>
    <row r="11" spans="2:16" x14ac:dyDescent="0.25">
      <c r="B11" s="18"/>
      <c r="C11" s="18"/>
      <c r="D11" s="18"/>
      <c r="E11" s="6" t="s">
        <v>25</v>
      </c>
      <c r="F11" s="6" t="s">
        <v>26</v>
      </c>
      <c r="G11" s="6" t="s">
        <v>20</v>
      </c>
      <c r="H11" s="14">
        <f>VLOOKUP($F11,[1]PRODUTOS!$B:$E,2,0)</f>
        <v>4.99</v>
      </c>
      <c r="I11" s="7">
        <f>VLOOKUP($F11,[1]PRODUTOS!$B:$E,3,0)</f>
        <v>11</v>
      </c>
      <c r="J11" s="8">
        <f t="shared" si="0"/>
        <v>12.8</v>
      </c>
      <c r="K11" s="8">
        <f t="shared" si="1"/>
        <v>12</v>
      </c>
      <c r="L11" s="8">
        <f t="shared" si="2"/>
        <v>11.2</v>
      </c>
      <c r="M11" s="8">
        <f t="shared" si="3"/>
        <v>10.4</v>
      </c>
      <c r="N11" s="8">
        <f t="shared" si="4"/>
        <v>9.6</v>
      </c>
      <c r="O11" s="8">
        <f t="shared" si="5"/>
        <v>8.8000000000000007</v>
      </c>
      <c r="P11" s="8">
        <f t="shared" si="6"/>
        <v>8</v>
      </c>
    </row>
    <row r="12" spans="2:16" x14ac:dyDescent="0.25">
      <c r="B12" s="18"/>
      <c r="C12" s="18"/>
      <c r="D12" s="18"/>
      <c r="E12" s="6" t="s">
        <v>27</v>
      </c>
      <c r="F12" s="6" t="s">
        <v>28</v>
      </c>
      <c r="G12" s="6" t="s">
        <v>20</v>
      </c>
      <c r="H12" s="14">
        <f>VLOOKUP($F12,[1]PRODUTOS!$B:$E,2,0)</f>
        <v>3.63</v>
      </c>
      <c r="I12" s="7">
        <f>VLOOKUP($F12,[1]PRODUTOS!$B:$E,3,0)</f>
        <v>8</v>
      </c>
      <c r="J12" s="8">
        <f t="shared" si="0"/>
        <v>9.4</v>
      </c>
      <c r="K12" s="8">
        <f t="shared" si="1"/>
        <v>8.9</v>
      </c>
      <c r="L12" s="8">
        <f t="shared" si="2"/>
        <v>8.3000000000000007</v>
      </c>
      <c r="M12" s="8">
        <f t="shared" si="3"/>
        <v>7.7</v>
      </c>
      <c r="N12" s="8">
        <f t="shared" si="4"/>
        <v>7.1</v>
      </c>
      <c r="O12" s="8">
        <f t="shared" si="5"/>
        <v>6.5</v>
      </c>
      <c r="P12" s="8">
        <f t="shared" si="6"/>
        <v>5.8999999999999995</v>
      </c>
    </row>
    <row r="13" spans="2:16" x14ac:dyDescent="0.25">
      <c r="B13" s="18"/>
      <c r="C13" s="18"/>
      <c r="D13" s="18"/>
      <c r="E13" s="6" t="s">
        <v>29</v>
      </c>
      <c r="F13" s="6" t="s">
        <v>30</v>
      </c>
      <c r="G13" s="6" t="s">
        <v>20</v>
      </c>
      <c r="H13" s="14">
        <f>VLOOKUP($F13,[1]PRODUTOS!$B:$E,2,0)</f>
        <v>2.65</v>
      </c>
      <c r="I13" s="7">
        <f>VLOOKUP($F13,[1]PRODUTOS!$B:$E,3,0)</f>
        <v>5.5</v>
      </c>
      <c r="J13" s="8">
        <f t="shared" si="0"/>
        <v>6.9</v>
      </c>
      <c r="K13" s="8">
        <f t="shared" si="1"/>
        <v>6.5</v>
      </c>
      <c r="L13" s="8">
        <f t="shared" si="2"/>
        <v>6</v>
      </c>
      <c r="M13" s="8">
        <f t="shared" si="3"/>
        <v>5.6</v>
      </c>
      <c r="N13" s="8">
        <f t="shared" si="4"/>
        <v>5.2</v>
      </c>
      <c r="O13" s="8">
        <f t="shared" si="5"/>
        <v>4.7</v>
      </c>
      <c r="P13" s="8">
        <f t="shared" si="6"/>
        <v>4.3</v>
      </c>
    </row>
    <row r="14" spans="2:16" x14ac:dyDescent="0.25">
      <c r="B14" s="18"/>
      <c r="C14" s="18"/>
      <c r="D14" s="18"/>
      <c r="E14" s="6" t="s">
        <v>31</v>
      </c>
      <c r="F14" s="6" t="s">
        <v>32</v>
      </c>
      <c r="G14" s="6" t="s">
        <v>20</v>
      </c>
      <c r="H14" s="14">
        <f>VLOOKUP($F14,[1]PRODUTOS!$B:$E,2,0)</f>
        <v>3.15</v>
      </c>
      <c r="I14" s="7">
        <f>VLOOKUP($F14,[1]PRODUTOS!$B:$E,3,0)</f>
        <v>7</v>
      </c>
      <c r="J14" s="8">
        <f t="shared" si="0"/>
        <v>8.1999999999999993</v>
      </c>
      <c r="K14" s="8">
        <f t="shared" si="1"/>
        <v>7.7</v>
      </c>
      <c r="L14" s="8">
        <f t="shared" si="2"/>
        <v>7.1</v>
      </c>
      <c r="M14" s="8">
        <f t="shared" si="3"/>
        <v>6.6</v>
      </c>
      <c r="N14" s="8">
        <f t="shared" si="4"/>
        <v>6.1</v>
      </c>
      <c r="O14" s="8">
        <f t="shared" si="5"/>
        <v>5.6</v>
      </c>
      <c r="P14" s="8">
        <f t="shared" si="6"/>
        <v>5.0999999999999996</v>
      </c>
    </row>
    <row r="15" spans="2:16" x14ac:dyDescent="0.25">
      <c r="B15" s="18"/>
      <c r="C15" s="18"/>
      <c r="D15" s="18"/>
      <c r="E15" s="6" t="s">
        <v>33</v>
      </c>
      <c r="F15" s="6" t="s">
        <v>34</v>
      </c>
      <c r="G15" s="6" t="s">
        <v>20</v>
      </c>
      <c r="H15" s="14">
        <f>VLOOKUP($F15,[1]PRODUTOS!$B:$E,2,0)</f>
        <v>1.9</v>
      </c>
      <c r="I15" s="7">
        <f>VLOOKUP($F15,[1]PRODUTOS!$B:$E,3,0)</f>
        <v>4.5</v>
      </c>
      <c r="J15" s="8">
        <f t="shared" si="0"/>
        <v>5</v>
      </c>
      <c r="K15" s="8">
        <f t="shared" si="1"/>
        <v>4.7</v>
      </c>
      <c r="L15" s="8">
        <f t="shared" si="2"/>
        <v>4.3</v>
      </c>
      <c r="M15" s="8">
        <f t="shared" si="3"/>
        <v>4</v>
      </c>
      <c r="N15" s="8">
        <f t="shared" si="4"/>
        <v>3.7</v>
      </c>
      <c r="O15" s="8">
        <f t="shared" si="5"/>
        <v>3.4</v>
      </c>
      <c r="P15" s="8">
        <f t="shared" si="6"/>
        <v>3.1</v>
      </c>
    </row>
    <row r="16" spans="2:16" x14ac:dyDescent="0.25">
      <c r="B16" s="18"/>
      <c r="C16" s="18"/>
      <c r="D16" s="18"/>
      <c r="E16" s="6" t="s">
        <v>35</v>
      </c>
      <c r="F16" s="6" t="s">
        <v>36</v>
      </c>
      <c r="G16" s="6" t="s">
        <v>20</v>
      </c>
      <c r="H16" s="14">
        <f>VLOOKUP($F16,[1]PRODUTOS!$B:$E,2,0)</f>
        <v>4.37</v>
      </c>
      <c r="I16" s="7">
        <f>VLOOKUP($F16,[1]PRODUTOS!$B:$E,3,0)</f>
        <v>10</v>
      </c>
      <c r="J16" s="8">
        <f t="shared" si="0"/>
        <v>11.2</v>
      </c>
      <c r="K16" s="8">
        <f t="shared" si="1"/>
        <v>10.5</v>
      </c>
      <c r="L16" s="8">
        <f t="shared" si="2"/>
        <v>9.8000000000000007</v>
      </c>
      <c r="M16" s="8">
        <f t="shared" si="3"/>
        <v>9.1</v>
      </c>
      <c r="N16" s="8">
        <f t="shared" si="4"/>
        <v>8.4</v>
      </c>
      <c r="O16" s="8">
        <f t="shared" si="5"/>
        <v>7.7</v>
      </c>
      <c r="P16" s="8">
        <f t="shared" si="6"/>
        <v>7</v>
      </c>
    </row>
    <row r="17" spans="2:16" x14ac:dyDescent="0.25">
      <c r="B17" s="18"/>
      <c r="C17" s="18"/>
      <c r="D17" s="18"/>
      <c r="E17" s="6" t="s">
        <v>37</v>
      </c>
      <c r="F17" s="6" t="s">
        <v>38</v>
      </c>
      <c r="G17" s="6" t="s">
        <v>20</v>
      </c>
      <c r="H17" s="14">
        <f>VLOOKUP($F17,[1]PRODUTOS!$B:$E,2,0)</f>
        <v>6.25</v>
      </c>
      <c r="I17" s="7">
        <f>VLOOKUP($F17,[1]PRODUTOS!$B:$E,3,0)</f>
        <v>14</v>
      </c>
      <c r="J17" s="8">
        <f t="shared" si="0"/>
        <v>16</v>
      </c>
      <c r="K17" s="8">
        <f t="shared" si="1"/>
        <v>15</v>
      </c>
      <c r="L17" s="8">
        <f t="shared" si="2"/>
        <v>14</v>
      </c>
      <c r="M17" s="8">
        <f t="shared" si="3"/>
        <v>13</v>
      </c>
      <c r="N17" s="8">
        <f t="shared" si="4"/>
        <v>12</v>
      </c>
      <c r="O17" s="8">
        <f t="shared" si="5"/>
        <v>11</v>
      </c>
      <c r="P17" s="8">
        <f t="shared" si="6"/>
        <v>10</v>
      </c>
    </row>
    <row r="18" spans="2:16" x14ac:dyDescent="0.25">
      <c r="B18" s="18"/>
      <c r="C18" s="18"/>
      <c r="D18" s="18"/>
      <c r="E18" s="6" t="s">
        <v>39</v>
      </c>
      <c r="F18" s="6" t="s">
        <v>40</v>
      </c>
      <c r="G18" s="6" t="s">
        <v>20</v>
      </c>
      <c r="H18" s="14">
        <f>VLOOKUP($F18,[1]PRODUTOS!$B:$E,2,0)</f>
        <v>9.75</v>
      </c>
      <c r="I18" s="7">
        <f>VLOOKUP($F18,[1]PRODUTOS!$B:$E,3,0)</f>
        <v>22</v>
      </c>
      <c r="J18" s="8">
        <f t="shared" si="0"/>
        <v>25</v>
      </c>
      <c r="K18" s="8">
        <f t="shared" si="1"/>
        <v>23.4</v>
      </c>
      <c r="L18" s="8">
        <f t="shared" si="2"/>
        <v>21.8</v>
      </c>
      <c r="M18" s="8">
        <f t="shared" si="3"/>
        <v>20.3</v>
      </c>
      <c r="N18" s="8">
        <f t="shared" si="4"/>
        <v>18.7</v>
      </c>
      <c r="O18" s="8">
        <f t="shared" si="5"/>
        <v>17.2</v>
      </c>
      <c r="P18" s="8">
        <f t="shared" si="6"/>
        <v>15.6</v>
      </c>
    </row>
    <row r="19" spans="2:16" x14ac:dyDescent="0.25">
      <c r="B19" s="5"/>
      <c r="C19" s="5"/>
      <c r="D19" s="5"/>
      <c r="E19" s="6"/>
      <c r="F19" s="6"/>
      <c r="G19" s="6"/>
      <c r="H19" s="14"/>
      <c r="I19" s="7"/>
      <c r="J19" s="8"/>
      <c r="K19" s="8"/>
      <c r="L19" s="8"/>
      <c r="M19" s="8"/>
      <c r="N19" s="8"/>
      <c r="O19" s="8"/>
      <c r="P19" s="8"/>
    </row>
    <row r="20" spans="2:16" x14ac:dyDescent="0.25">
      <c r="B20" s="5"/>
      <c r="C20" s="5"/>
      <c r="D20" s="5"/>
      <c r="E20" s="3" t="s">
        <v>8</v>
      </c>
      <c r="F20" s="3" t="s">
        <v>9</v>
      </c>
      <c r="G20" s="3"/>
      <c r="H20" s="14"/>
      <c r="I20" s="4" t="s">
        <v>11</v>
      </c>
      <c r="J20" s="13" t="s">
        <v>17</v>
      </c>
      <c r="K20" s="13" t="s">
        <v>16</v>
      </c>
      <c r="L20" s="13" t="s">
        <v>15</v>
      </c>
      <c r="M20" s="13" t="s">
        <v>14</v>
      </c>
      <c r="N20" s="13" t="s">
        <v>259</v>
      </c>
      <c r="O20" s="13" t="s">
        <v>13</v>
      </c>
      <c r="P20" s="13" t="s">
        <v>12</v>
      </c>
    </row>
    <row r="21" spans="2:16" x14ac:dyDescent="0.25">
      <c r="E21" s="6" t="s">
        <v>41</v>
      </c>
      <c r="F21" s="6" t="s">
        <v>42</v>
      </c>
      <c r="G21" s="6" t="s">
        <v>20</v>
      </c>
      <c r="H21" s="14">
        <f>VLOOKUP($F21,[1]PRODUTOS!$B:$E,2,0)</f>
        <v>5.85</v>
      </c>
      <c r="I21" s="7">
        <f>VLOOKUP($F21,[1]PRODUTOS!$B:$E,3,0)</f>
        <v>12</v>
      </c>
      <c r="J21" s="8">
        <f t="shared" ref="J21:J22" si="7">ROUND($P21*1.6,1)</f>
        <v>15</v>
      </c>
      <c r="K21" s="8">
        <f t="shared" ref="K21:K22" si="8">ROUND($P21*1.5,1)</f>
        <v>14.1</v>
      </c>
      <c r="L21" s="8">
        <f t="shared" ref="L21:L22" si="9">ROUND($P21*1.4,1)</f>
        <v>13.2</v>
      </c>
      <c r="M21" s="8">
        <f t="shared" ref="M21:M22" si="10">ROUND($P21*1.3,1)</f>
        <v>12.2</v>
      </c>
      <c r="N21" s="8">
        <f t="shared" ref="N21:N22" si="11">ROUND($P21*1.2,1)</f>
        <v>11.3</v>
      </c>
      <c r="O21" s="8">
        <f t="shared" ref="O21:O22" si="12">ROUND($P21*1.1,1)</f>
        <v>10.3</v>
      </c>
      <c r="P21" s="8">
        <f>ROUNDUP($H21*1.6,1)</f>
        <v>9.4</v>
      </c>
    </row>
    <row r="22" spans="2:16" x14ac:dyDescent="0.25">
      <c r="E22" s="6" t="s">
        <v>43</v>
      </c>
      <c r="F22" s="6" t="s">
        <v>44</v>
      </c>
      <c r="G22" s="6" t="s">
        <v>20</v>
      </c>
      <c r="H22" s="14">
        <f>VLOOKUP($F22,[1]PRODUTOS!$B:$E,2,0)</f>
        <v>7.4</v>
      </c>
      <c r="I22" s="7">
        <f>VLOOKUP($F22,[1]PRODUTOS!$B:$E,3,0)</f>
        <v>14</v>
      </c>
      <c r="J22" s="8">
        <f t="shared" si="7"/>
        <v>19</v>
      </c>
      <c r="K22" s="8">
        <f t="shared" si="8"/>
        <v>17.899999999999999</v>
      </c>
      <c r="L22" s="8">
        <f t="shared" si="9"/>
        <v>16.7</v>
      </c>
      <c r="M22" s="8">
        <f t="shared" si="10"/>
        <v>15.5</v>
      </c>
      <c r="N22" s="8">
        <f t="shared" si="11"/>
        <v>14.3</v>
      </c>
      <c r="O22" s="8">
        <f t="shared" si="12"/>
        <v>13.1</v>
      </c>
      <c r="P22" s="8">
        <f>ROUNDUP($H22*1.6,1)</f>
        <v>11.9</v>
      </c>
    </row>
    <row r="23" spans="2:16" x14ac:dyDescent="0.25">
      <c r="E23" s="6"/>
      <c r="F23" s="6"/>
      <c r="G23" s="6"/>
      <c r="H23" s="14"/>
      <c r="I23" s="7"/>
      <c r="J23" s="8"/>
      <c r="K23" s="8"/>
      <c r="L23" s="8"/>
      <c r="M23" s="8"/>
      <c r="N23" s="8"/>
      <c r="O23" s="8"/>
      <c r="P23" s="8"/>
    </row>
    <row r="24" spans="2:16" x14ac:dyDescent="0.25">
      <c r="E24" s="3" t="s">
        <v>8</v>
      </c>
      <c r="F24" s="3" t="s">
        <v>9</v>
      </c>
      <c r="G24" s="3"/>
      <c r="H24" s="14"/>
      <c r="I24" s="4" t="s">
        <v>11</v>
      </c>
      <c r="J24" s="13" t="s">
        <v>17</v>
      </c>
      <c r="K24" s="13" t="s">
        <v>16</v>
      </c>
      <c r="L24" s="13" t="s">
        <v>15</v>
      </c>
      <c r="M24" s="13" t="s">
        <v>14</v>
      </c>
      <c r="N24" s="13" t="s">
        <v>259</v>
      </c>
      <c r="O24" s="13" t="s">
        <v>13</v>
      </c>
      <c r="P24" s="13" t="s">
        <v>12</v>
      </c>
    </row>
    <row r="25" spans="2:16" x14ac:dyDescent="0.25">
      <c r="E25" s="6" t="s">
        <v>45</v>
      </c>
      <c r="F25" s="6" t="s">
        <v>46</v>
      </c>
      <c r="G25" s="6" t="s">
        <v>20</v>
      </c>
      <c r="H25" s="14">
        <f>VLOOKUP($F25,[1]PRODUTOS!$B:$E,2,0)</f>
        <v>3.1</v>
      </c>
      <c r="I25" s="7"/>
      <c r="J25" s="8"/>
      <c r="K25" s="8"/>
      <c r="L25" s="8"/>
      <c r="M25" s="8"/>
      <c r="N25" s="8"/>
      <c r="O25" s="8"/>
      <c r="P25" s="8"/>
    </row>
    <row r="26" spans="2:16" x14ac:dyDescent="0.25">
      <c r="E26" s="6" t="s">
        <v>47</v>
      </c>
      <c r="F26" s="6"/>
      <c r="G26" s="6" t="s">
        <v>20</v>
      </c>
      <c r="H26" s="14">
        <v>3.1</v>
      </c>
      <c r="I26" s="7"/>
      <c r="J26" s="8">
        <f t="shared" ref="J26:J28" si="13">ROUNDUP($P26*1.6,0)</f>
        <v>8</v>
      </c>
      <c r="K26" s="8">
        <f t="shared" ref="K26:K28" si="14">ROUND($P26*1.5,1)</f>
        <v>7.5</v>
      </c>
      <c r="L26" s="8">
        <f t="shared" ref="L26:L28" si="15">ROUND($P26*1.4,1)</f>
        <v>7</v>
      </c>
      <c r="M26" s="8">
        <f t="shared" ref="M26:M28" si="16">ROUND($P26*1.3,1)</f>
        <v>6.5</v>
      </c>
      <c r="N26" s="8">
        <f t="shared" ref="N26:N28" si="17">ROUND($P26*1.2,1)</f>
        <v>6</v>
      </c>
      <c r="O26" s="8">
        <f t="shared" ref="O26:O28" si="18">ROUND($P26*1.1,1)</f>
        <v>5.5</v>
      </c>
      <c r="P26" s="8">
        <f t="shared" ref="P26:P28" si="19">ROUNDUP($H26*1.6,1)</f>
        <v>5</v>
      </c>
    </row>
    <row r="27" spans="2:16" x14ac:dyDescent="0.25">
      <c r="E27" s="6" t="s">
        <v>48</v>
      </c>
      <c r="F27" s="6"/>
      <c r="G27" s="6" t="s">
        <v>20</v>
      </c>
      <c r="H27" s="14">
        <v>5.0999999999999996</v>
      </c>
      <c r="I27" s="7"/>
      <c r="J27" s="8">
        <f t="shared" si="13"/>
        <v>14</v>
      </c>
      <c r="K27" s="8">
        <f t="shared" si="14"/>
        <v>12.3</v>
      </c>
      <c r="L27" s="8">
        <f t="shared" si="15"/>
        <v>11.5</v>
      </c>
      <c r="M27" s="8">
        <f t="shared" si="16"/>
        <v>10.7</v>
      </c>
      <c r="N27" s="8">
        <f t="shared" si="17"/>
        <v>9.8000000000000007</v>
      </c>
      <c r="O27" s="8">
        <f t="shared" si="18"/>
        <v>9</v>
      </c>
      <c r="P27" s="8">
        <f t="shared" si="19"/>
        <v>8.1999999999999993</v>
      </c>
    </row>
    <row r="28" spans="2:16" x14ac:dyDescent="0.25">
      <c r="E28" s="6" t="s">
        <v>49</v>
      </c>
      <c r="F28" s="6"/>
      <c r="G28" s="6" t="s">
        <v>20</v>
      </c>
      <c r="H28" s="14">
        <v>6.2</v>
      </c>
      <c r="I28" s="7"/>
      <c r="J28" s="8">
        <f t="shared" si="13"/>
        <v>16</v>
      </c>
      <c r="K28" s="8">
        <f t="shared" si="14"/>
        <v>15</v>
      </c>
      <c r="L28" s="8">
        <f t="shared" si="15"/>
        <v>14</v>
      </c>
      <c r="M28" s="8">
        <f t="shared" si="16"/>
        <v>13</v>
      </c>
      <c r="N28" s="8">
        <f t="shared" si="17"/>
        <v>12</v>
      </c>
      <c r="O28" s="8">
        <f t="shared" si="18"/>
        <v>11</v>
      </c>
      <c r="P28" s="8">
        <f t="shared" si="19"/>
        <v>10</v>
      </c>
    </row>
    <row r="29" spans="2:16" x14ac:dyDescent="0.25">
      <c r="E29" s="6"/>
      <c r="F29" s="6"/>
      <c r="G29" s="6"/>
      <c r="H29" s="14"/>
      <c r="I29" s="7"/>
      <c r="J29" s="8"/>
      <c r="K29" s="8"/>
      <c r="L29" s="8"/>
      <c r="M29" s="8"/>
      <c r="N29" s="8"/>
      <c r="O29" s="8"/>
      <c r="P29" s="8"/>
    </row>
    <row r="30" spans="2:16" x14ac:dyDescent="0.25">
      <c r="E30" s="3" t="s">
        <v>8</v>
      </c>
      <c r="F30" s="3" t="s">
        <v>9</v>
      </c>
      <c r="G30" s="3"/>
      <c r="H30" s="14"/>
      <c r="I30" s="4" t="s">
        <v>11</v>
      </c>
      <c r="J30" s="13" t="s">
        <v>17</v>
      </c>
      <c r="K30" s="13" t="s">
        <v>16</v>
      </c>
      <c r="L30" s="13" t="s">
        <v>15</v>
      </c>
      <c r="M30" s="13" t="s">
        <v>14</v>
      </c>
      <c r="N30" s="13" t="s">
        <v>259</v>
      </c>
      <c r="O30" s="13" t="s">
        <v>13</v>
      </c>
      <c r="P30" s="13" t="s">
        <v>12</v>
      </c>
    </row>
    <row r="31" spans="2:16" x14ac:dyDescent="0.25">
      <c r="B31" s="18"/>
      <c r="C31" s="18"/>
      <c r="D31" s="18"/>
      <c r="E31" s="6" t="s">
        <v>50</v>
      </c>
      <c r="F31" s="6" t="s">
        <v>51</v>
      </c>
      <c r="G31" s="6" t="s">
        <v>20</v>
      </c>
      <c r="H31" s="14">
        <f>VLOOKUP($F31,[1]PRODUTOS!$B:$E,2,0)</f>
        <v>1.68</v>
      </c>
      <c r="I31" s="7">
        <f>VLOOKUP($F31,[1]PRODUTOS!$B:$E,3,0)</f>
        <v>3</v>
      </c>
      <c r="J31" s="8">
        <f t="shared" ref="J31:J33" si="20">ROUNDUP($P31*1.6,0)</f>
        <v>5</v>
      </c>
      <c r="K31" s="8">
        <f t="shared" ref="K31:K33" si="21">ROUND($P31*1.5,1)</f>
        <v>4.0999999999999996</v>
      </c>
      <c r="L31" s="8">
        <f t="shared" ref="L31:L33" si="22">ROUND($P31*1.4,1)</f>
        <v>3.8</v>
      </c>
      <c r="M31" s="8">
        <f t="shared" ref="M31:M33" si="23">ROUND($P31*1.3,1)</f>
        <v>3.5</v>
      </c>
      <c r="N31" s="8">
        <f t="shared" ref="N31:N33" si="24">ROUND($P31*1.2,1)</f>
        <v>3.2</v>
      </c>
      <c r="O31" s="8">
        <f t="shared" ref="O31:O33" si="25">ROUND($P31*1.1,1)</f>
        <v>3</v>
      </c>
      <c r="P31" s="8">
        <f>ROUNDUP($H31*1.6,1)</f>
        <v>2.7</v>
      </c>
    </row>
    <row r="32" spans="2:16" x14ac:dyDescent="0.25">
      <c r="B32" s="18"/>
      <c r="C32" s="18"/>
      <c r="D32" s="18"/>
      <c r="E32" s="6" t="s">
        <v>52</v>
      </c>
      <c r="F32" s="6" t="s">
        <v>53</v>
      </c>
      <c r="G32" s="6" t="s">
        <v>20</v>
      </c>
      <c r="H32" s="14">
        <f>VLOOKUP($F32,[1]PRODUTOS!$B:$E,2,0)</f>
        <v>1.93</v>
      </c>
      <c r="I32" s="7">
        <f>VLOOKUP($F32,[1]PRODUTOS!$B:$E,3,0)</f>
        <v>3.4</v>
      </c>
      <c r="J32" s="8">
        <f t="shared" si="20"/>
        <v>5</v>
      </c>
      <c r="K32" s="8">
        <f t="shared" si="21"/>
        <v>4.7</v>
      </c>
      <c r="L32" s="8">
        <f t="shared" si="22"/>
        <v>4.3</v>
      </c>
      <c r="M32" s="8">
        <f t="shared" si="23"/>
        <v>4</v>
      </c>
      <c r="N32" s="8">
        <f t="shared" si="24"/>
        <v>3.7</v>
      </c>
      <c r="O32" s="8">
        <f t="shared" si="25"/>
        <v>3.4</v>
      </c>
      <c r="P32" s="8">
        <f t="shared" ref="P32:P33" si="26">ROUNDUP($H32*1.6,1)</f>
        <v>3.1</v>
      </c>
    </row>
    <row r="33" spans="2:16" x14ac:dyDescent="0.25">
      <c r="B33" s="18"/>
      <c r="C33" s="18"/>
      <c r="D33" s="18"/>
      <c r="E33" s="6" t="s">
        <v>54</v>
      </c>
      <c r="F33" s="6" t="s">
        <v>55</v>
      </c>
      <c r="G33" s="6" t="s">
        <v>20</v>
      </c>
      <c r="H33" s="14">
        <f>VLOOKUP($F33,[1]PRODUTOS!$B:$E,2,0)</f>
        <v>1.98</v>
      </c>
      <c r="I33" s="7">
        <f>VLOOKUP($F33,[1]PRODUTOS!$B:$E,3,0)</f>
        <v>4.2</v>
      </c>
      <c r="J33" s="8">
        <f t="shared" si="20"/>
        <v>6</v>
      </c>
      <c r="K33" s="8">
        <f t="shared" si="21"/>
        <v>4.8</v>
      </c>
      <c r="L33" s="8">
        <f t="shared" si="22"/>
        <v>4.5</v>
      </c>
      <c r="M33" s="8">
        <f t="shared" si="23"/>
        <v>4.2</v>
      </c>
      <c r="N33" s="8">
        <f t="shared" si="24"/>
        <v>3.8</v>
      </c>
      <c r="O33" s="8">
        <f t="shared" si="25"/>
        <v>3.5</v>
      </c>
      <c r="P33" s="8">
        <f t="shared" si="26"/>
        <v>3.2</v>
      </c>
    </row>
    <row r="34" spans="2:16" x14ac:dyDescent="0.25">
      <c r="B34" s="5"/>
      <c r="C34" s="5"/>
      <c r="D34" s="5"/>
      <c r="E34" s="6"/>
      <c r="F34" s="6"/>
      <c r="G34" s="6"/>
      <c r="H34" s="14"/>
      <c r="I34" s="7"/>
      <c r="J34" s="8"/>
      <c r="K34" s="8"/>
      <c r="L34" s="8"/>
      <c r="M34" s="8"/>
      <c r="N34" s="8"/>
      <c r="O34" s="8"/>
      <c r="P34" s="8"/>
    </row>
    <row r="35" spans="2:16" x14ac:dyDescent="0.25">
      <c r="B35" s="5"/>
      <c r="C35" s="5"/>
      <c r="D35" s="5"/>
      <c r="E35" s="3" t="s">
        <v>8</v>
      </c>
      <c r="F35" s="3" t="s">
        <v>9</v>
      </c>
      <c r="G35" s="3"/>
      <c r="H35" s="14"/>
      <c r="I35" s="4" t="s">
        <v>11</v>
      </c>
      <c r="J35" s="13" t="s">
        <v>17</v>
      </c>
      <c r="K35" s="13" t="s">
        <v>16</v>
      </c>
      <c r="L35" s="13" t="s">
        <v>15</v>
      </c>
      <c r="M35" s="13" t="s">
        <v>14</v>
      </c>
      <c r="N35" s="13" t="s">
        <v>259</v>
      </c>
      <c r="O35" s="13" t="s">
        <v>13</v>
      </c>
      <c r="P35" s="13" t="s">
        <v>12</v>
      </c>
    </row>
    <row r="36" spans="2:16" x14ac:dyDescent="0.25">
      <c r="B36" s="18"/>
      <c r="C36" s="18"/>
      <c r="D36" s="18"/>
      <c r="E36" s="6" t="s">
        <v>56</v>
      </c>
      <c r="F36" s="6" t="s">
        <v>57</v>
      </c>
      <c r="G36" s="6" t="s">
        <v>20</v>
      </c>
      <c r="H36" s="14">
        <f>VLOOKUP($F36,[1]PRODUTOS!$B:$E,2,0)</f>
        <v>1.05</v>
      </c>
      <c r="I36" s="7">
        <f>VLOOKUP($F36,[1]PRODUTOS!$B:$E,3,0)</f>
        <v>2.5</v>
      </c>
      <c r="J36" s="8">
        <f>ROUNDUP($P36*1.6,0)</f>
        <v>3</v>
      </c>
      <c r="K36" s="8">
        <f t="shared" ref="K36:K44" si="27">ROUND($P36*1.5,1)</f>
        <v>2.6</v>
      </c>
      <c r="L36" s="8">
        <f t="shared" ref="L36:L44" si="28">ROUND($P36*1.4,1)</f>
        <v>2.4</v>
      </c>
      <c r="M36" s="8">
        <f t="shared" ref="M36:M44" si="29">ROUND($P36*1.3,1)</f>
        <v>2.2000000000000002</v>
      </c>
      <c r="N36" s="8">
        <f t="shared" ref="N36:N44" si="30">ROUND($P36*1.2,1)</f>
        <v>2</v>
      </c>
      <c r="O36" s="8">
        <f t="shared" ref="O36:O44" si="31">ROUND($P36*1.1,1)</f>
        <v>1.9</v>
      </c>
      <c r="P36" s="8">
        <f t="shared" ref="P36:P44" si="32">ROUNDUP($H36*1.6,1)</f>
        <v>1.7000000000000002</v>
      </c>
    </row>
    <row r="37" spans="2:16" x14ac:dyDescent="0.25">
      <c r="B37" s="18"/>
      <c r="C37" s="18"/>
      <c r="D37" s="18"/>
      <c r="E37" s="6" t="s">
        <v>58</v>
      </c>
      <c r="F37" s="6" t="s">
        <v>59</v>
      </c>
      <c r="G37" s="6" t="s">
        <v>20</v>
      </c>
      <c r="H37" s="14">
        <f>VLOOKUP($F37,[1]PRODUTOS!$B:$E,2,0)</f>
        <v>1.4</v>
      </c>
      <c r="I37" s="7">
        <f>VLOOKUP($F37,[1]PRODUTOS!$B:$E,3,0)</f>
        <v>3</v>
      </c>
      <c r="J37" s="8">
        <f t="shared" ref="J37:J44" si="33">ROUNDUP($P37*1.6,0)</f>
        <v>4</v>
      </c>
      <c r="K37" s="8">
        <f t="shared" si="27"/>
        <v>3.5</v>
      </c>
      <c r="L37" s="8">
        <f t="shared" si="28"/>
        <v>3.2</v>
      </c>
      <c r="M37" s="8">
        <f t="shared" si="29"/>
        <v>3</v>
      </c>
      <c r="N37" s="8">
        <f t="shared" si="30"/>
        <v>2.8</v>
      </c>
      <c r="O37" s="8">
        <f t="shared" si="31"/>
        <v>2.5</v>
      </c>
      <c r="P37" s="8">
        <f t="shared" si="32"/>
        <v>2.3000000000000003</v>
      </c>
    </row>
    <row r="38" spans="2:16" x14ac:dyDescent="0.25">
      <c r="B38" s="18"/>
      <c r="C38" s="18"/>
      <c r="D38" s="18"/>
      <c r="E38" s="6" t="s">
        <v>60</v>
      </c>
      <c r="F38" s="6" t="s">
        <v>61</v>
      </c>
      <c r="G38" s="6" t="s">
        <v>20</v>
      </c>
      <c r="H38" s="14">
        <f>VLOOKUP($F38,[1]PRODUTOS!$B:$E,2,0)</f>
        <v>1.55</v>
      </c>
      <c r="I38" s="7">
        <f>VLOOKUP($F38,[1]PRODUTOS!$B:$E,3,0)</f>
        <v>4</v>
      </c>
      <c r="J38" s="8">
        <f t="shared" si="33"/>
        <v>4</v>
      </c>
      <c r="K38" s="8">
        <f t="shared" si="27"/>
        <v>3.8</v>
      </c>
      <c r="L38" s="8">
        <f t="shared" si="28"/>
        <v>3.5</v>
      </c>
      <c r="M38" s="8">
        <f t="shared" si="29"/>
        <v>3.3</v>
      </c>
      <c r="N38" s="8">
        <f t="shared" si="30"/>
        <v>3</v>
      </c>
      <c r="O38" s="8">
        <f t="shared" si="31"/>
        <v>2.8</v>
      </c>
      <c r="P38" s="8">
        <f t="shared" si="32"/>
        <v>2.5</v>
      </c>
    </row>
    <row r="39" spans="2:16" x14ac:dyDescent="0.25">
      <c r="B39" s="18"/>
      <c r="C39" s="18"/>
      <c r="D39" s="18"/>
      <c r="E39" s="6" t="s">
        <v>62</v>
      </c>
      <c r="F39" s="6" t="s">
        <v>63</v>
      </c>
      <c r="G39" s="6" t="s">
        <v>20</v>
      </c>
      <c r="H39" s="14">
        <f>VLOOKUP($F39,[1]PRODUTOS!$B:$E,2,0)</f>
        <v>1.98</v>
      </c>
      <c r="I39" s="7">
        <f>VLOOKUP($F39,[1]PRODUTOS!$B:$E,3,0)</f>
        <v>5</v>
      </c>
      <c r="J39" s="8">
        <f t="shared" si="33"/>
        <v>6</v>
      </c>
      <c r="K39" s="8">
        <f t="shared" si="27"/>
        <v>4.8</v>
      </c>
      <c r="L39" s="8">
        <f t="shared" si="28"/>
        <v>4.5</v>
      </c>
      <c r="M39" s="8">
        <f t="shared" si="29"/>
        <v>4.2</v>
      </c>
      <c r="N39" s="8">
        <f t="shared" si="30"/>
        <v>3.8</v>
      </c>
      <c r="O39" s="8">
        <f t="shared" si="31"/>
        <v>3.5</v>
      </c>
      <c r="P39" s="8">
        <f t="shared" si="32"/>
        <v>3.2</v>
      </c>
    </row>
    <row r="40" spans="2:16" x14ac:dyDescent="0.25">
      <c r="B40" s="18"/>
      <c r="C40" s="18"/>
      <c r="D40" s="18"/>
      <c r="E40" s="6" t="s">
        <v>64</v>
      </c>
      <c r="F40" s="6" t="s">
        <v>65</v>
      </c>
      <c r="G40" s="6" t="s">
        <v>20</v>
      </c>
      <c r="H40" s="14">
        <f>VLOOKUP($F40,[1]PRODUTOS!$B:$E,2,0)</f>
        <v>2.5</v>
      </c>
      <c r="I40" s="7">
        <f>VLOOKUP($F40,[1]PRODUTOS!$B:$E,3,0)</f>
        <v>6</v>
      </c>
      <c r="J40" s="8">
        <f t="shared" si="33"/>
        <v>7</v>
      </c>
      <c r="K40" s="8">
        <f t="shared" si="27"/>
        <v>6</v>
      </c>
      <c r="L40" s="8">
        <f t="shared" si="28"/>
        <v>5.6</v>
      </c>
      <c r="M40" s="8">
        <f t="shared" si="29"/>
        <v>5.2</v>
      </c>
      <c r="N40" s="8">
        <f t="shared" si="30"/>
        <v>4.8</v>
      </c>
      <c r="O40" s="8">
        <f t="shared" si="31"/>
        <v>4.4000000000000004</v>
      </c>
      <c r="P40" s="8">
        <f t="shared" si="32"/>
        <v>4</v>
      </c>
    </row>
    <row r="41" spans="2:16" x14ac:dyDescent="0.25">
      <c r="B41" s="18"/>
      <c r="C41" s="18"/>
      <c r="D41" s="18"/>
      <c r="E41" s="6" t="s">
        <v>66</v>
      </c>
      <c r="F41" s="6" t="s">
        <v>67</v>
      </c>
      <c r="G41" s="6" t="s">
        <v>20</v>
      </c>
      <c r="H41" s="14">
        <f>VLOOKUP($F41,[1]PRODUTOS!$B:$E,2,0)</f>
        <v>2.9</v>
      </c>
      <c r="I41" s="7">
        <f>VLOOKUP($F41,[1]PRODUTOS!$B:$E,3,0)</f>
        <v>7</v>
      </c>
      <c r="J41" s="8">
        <f t="shared" si="33"/>
        <v>8</v>
      </c>
      <c r="K41" s="8">
        <f t="shared" si="27"/>
        <v>7.1</v>
      </c>
      <c r="L41" s="8">
        <f t="shared" si="28"/>
        <v>6.6</v>
      </c>
      <c r="M41" s="8">
        <f t="shared" si="29"/>
        <v>6.1</v>
      </c>
      <c r="N41" s="8">
        <f t="shared" si="30"/>
        <v>5.6</v>
      </c>
      <c r="O41" s="8">
        <f t="shared" si="31"/>
        <v>5.2</v>
      </c>
      <c r="P41" s="8">
        <f t="shared" si="32"/>
        <v>4.6999999999999993</v>
      </c>
    </row>
    <row r="42" spans="2:16" x14ac:dyDescent="0.25">
      <c r="B42" s="18"/>
      <c r="C42" s="18"/>
      <c r="D42" s="18"/>
      <c r="E42" s="6" t="s">
        <v>68</v>
      </c>
      <c r="F42" s="6" t="s">
        <v>69</v>
      </c>
      <c r="G42" s="6" t="s">
        <v>20</v>
      </c>
      <c r="H42" s="14">
        <f>VLOOKUP($F42,[1]PRODUTOS!$B:$E,2,0)</f>
        <v>3.8</v>
      </c>
      <c r="I42" s="7">
        <f>VLOOKUP($F42,[1]PRODUTOS!$B:$E,3,0)</f>
        <v>8</v>
      </c>
      <c r="J42" s="8">
        <f t="shared" si="33"/>
        <v>10</v>
      </c>
      <c r="K42" s="8">
        <f t="shared" si="27"/>
        <v>9.1999999999999993</v>
      </c>
      <c r="L42" s="8">
        <f t="shared" si="28"/>
        <v>8.5</v>
      </c>
      <c r="M42" s="8">
        <f t="shared" si="29"/>
        <v>7.9</v>
      </c>
      <c r="N42" s="8">
        <f t="shared" si="30"/>
        <v>7.3</v>
      </c>
      <c r="O42" s="8">
        <f t="shared" si="31"/>
        <v>6.7</v>
      </c>
      <c r="P42" s="8">
        <f t="shared" si="32"/>
        <v>6.1</v>
      </c>
    </row>
    <row r="43" spans="2:16" x14ac:dyDescent="0.25">
      <c r="B43" s="18"/>
      <c r="C43" s="18"/>
      <c r="D43" s="18"/>
      <c r="E43" s="6" t="s">
        <v>70</v>
      </c>
      <c r="F43" s="6" t="s">
        <v>71</v>
      </c>
      <c r="G43" s="6" t="s">
        <v>20</v>
      </c>
      <c r="H43" s="14">
        <f>VLOOKUP($F43,[1]PRODUTOS!$B:$E,2,0)</f>
        <v>4.9000000000000004</v>
      </c>
      <c r="I43" s="7">
        <f>VLOOKUP($F43,[1]PRODUTOS!$B:$E,3,0)</f>
        <v>11</v>
      </c>
      <c r="J43" s="8">
        <f t="shared" si="33"/>
        <v>13</v>
      </c>
      <c r="K43" s="8">
        <f t="shared" si="27"/>
        <v>11.9</v>
      </c>
      <c r="L43" s="8">
        <f t="shared" si="28"/>
        <v>11.1</v>
      </c>
      <c r="M43" s="8">
        <f t="shared" si="29"/>
        <v>10.3</v>
      </c>
      <c r="N43" s="8">
        <f t="shared" si="30"/>
        <v>9.5</v>
      </c>
      <c r="O43" s="8">
        <f t="shared" si="31"/>
        <v>8.6999999999999993</v>
      </c>
      <c r="P43" s="8">
        <f t="shared" si="32"/>
        <v>7.8999999999999995</v>
      </c>
    </row>
    <row r="44" spans="2:16" x14ac:dyDescent="0.25">
      <c r="B44" s="18"/>
      <c r="C44" s="18"/>
      <c r="D44" s="18"/>
      <c r="E44" s="6" t="s">
        <v>72</v>
      </c>
      <c r="F44" s="6" t="s">
        <v>73</v>
      </c>
      <c r="G44" s="6" t="s">
        <v>20</v>
      </c>
      <c r="H44" s="14">
        <f>VLOOKUP($F44,[1]PRODUTOS!$B:$E,2,0)</f>
        <v>6.95</v>
      </c>
      <c r="I44" s="7">
        <f>VLOOKUP($F44,[1]PRODUTOS!$B:$E,3,0)</f>
        <v>15</v>
      </c>
      <c r="J44" s="8">
        <f t="shared" si="33"/>
        <v>18</v>
      </c>
      <c r="K44" s="8">
        <f t="shared" si="27"/>
        <v>16.8</v>
      </c>
      <c r="L44" s="8">
        <f t="shared" si="28"/>
        <v>15.7</v>
      </c>
      <c r="M44" s="8">
        <f t="shared" si="29"/>
        <v>14.6</v>
      </c>
      <c r="N44" s="8">
        <f t="shared" si="30"/>
        <v>13.4</v>
      </c>
      <c r="O44" s="8">
        <f t="shared" si="31"/>
        <v>12.3</v>
      </c>
      <c r="P44" s="8">
        <f t="shared" si="32"/>
        <v>11.2</v>
      </c>
    </row>
    <row r="45" spans="2:16" x14ac:dyDescent="0.25">
      <c r="B45" s="5"/>
      <c r="C45" s="5"/>
      <c r="D45" s="5"/>
      <c r="E45" s="6"/>
      <c r="F45" s="6"/>
      <c r="G45" s="6"/>
      <c r="H45" s="14"/>
      <c r="I45" s="7"/>
      <c r="J45" s="8"/>
      <c r="K45" s="8"/>
      <c r="L45" s="8"/>
      <c r="M45" s="8"/>
      <c r="N45" s="8"/>
      <c r="O45" s="8"/>
      <c r="P45" s="8"/>
    </row>
    <row r="46" spans="2:16" x14ac:dyDescent="0.25">
      <c r="E46" s="3" t="s">
        <v>8</v>
      </c>
      <c r="F46" s="3" t="s">
        <v>9</v>
      </c>
      <c r="G46" s="3"/>
      <c r="H46" s="14"/>
      <c r="I46" s="4" t="s">
        <v>11</v>
      </c>
      <c r="J46" s="13" t="s">
        <v>17</v>
      </c>
      <c r="K46" s="13" t="s">
        <v>16</v>
      </c>
      <c r="L46" s="13" t="s">
        <v>15</v>
      </c>
      <c r="M46" s="13" t="s">
        <v>14</v>
      </c>
      <c r="N46" s="13" t="s">
        <v>259</v>
      </c>
      <c r="O46" s="13" t="s">
        <v>13</v>
      </c>
      <c r="P46" s="13" t="s">
        <v>12</v>
      </c>
    </row>
    <row r="47" spans="2:16" x14ac:dyDescent="0.25">
      <c r="B47" s="18"/>
      <c r="C47" s="18"/>
      <c r="D47" s="18"/>
      <c r="E47" s="6" t="s">
        <v>74</v>
      </c>
      <c r="F47" s="6" t="s">
        <v>75</v>
      </c>
      <c r="G47" s="6" t="s">
        <v>20</v>
      </c>
      <c r="H47" s="14">
        <f>VLOOKUP($F47,[1]PRODUTOS!$B:$E,2,0)</f>
        <v>4.9000000000000004</v>
      </c>
      <c r="I47" s="7">
        <f>VLOOKUP($F47,[1]PRODUTOS!$B:$E,3,0)</f>
        <v>9.5</v>
      </c>
      <c r="J47" s="8">
        <f t="shared" ref="J47:J48" si="34">ROUND($P47*1.6,1)</f>
        <v>12.6</v>
      </c>
      <c r="K47" s="8">
        <f t="shared" ref="K47:K48" si="35">ROUND($P47*1.5,1)</f>
        <v>11.9</v>
      </c>
      <c r="L47" s="8">
        <f t="shared" ref="L47:L48" si="36">ROUND($P47*1.4,1)</f>
        <v>11.1</v>
      </c>
      <c r="M47" s="8">
        <f t="shared" ref="M47:M48" si="37">ROUND($P47*1.3,1)</f>
        <v>10.3</v>
      </c>
      <c r="N47" s="8">
        <f t="shared" ref="N47:N48" si="38">ROUND($P47*1.2,1)</f>
        <v>9.5</v>
      </c>
      <c r="O47" s="8">
        <f t="shared" ref="O47:O48" si="39">ROUND($P47*1.1,1)</f>
        <v>8.6999999999999993</v>
      </c>
      <c r="P47" s="8">
        <f t="shared" ref="P47:P48" si="40">ROUNDUP($H47*1.6,1)</f>
        <v>7.8999999999999995</v>
      </c>
    </row>
    <row r="48" spans="2:16" x14ac:dyDescent="0.25">
      <c r="B48" s="18"/>
      <c r="C48" s="18"/>
      <c r="D48" s="18"/>
      <c r="E48" s="6" t="s">
        <v>76</v>
      </c>
      <c r="F48" s="6" t="s">
        <v>77</v>
      </c>
      <c r="G48" s="6" t="s">
        <v>20</v>
      </c>
      <c r="H48" s="14">
        <f>VLOOKUP($F48,[1]PRODUTOS!$B:$E,2,0)</f>
        <v>6</v>
      </c>
      <c r="I48" s="7">
        <f>VLOOKUP($F48,[1]PRODUTOS!$B:$E,3,0)</f>
        <v>12</v>
      </c>
      <c r="J48" s="8">
        <f t="shared" si="34"/>
        <v>15.4</v>
      </c>
      <c r="K48" s="8">
        <f t="shared" si="35"/>
        <v>14.4</v>
      </c>
      <c r="L48" s="8">
        <f t="shared" si="36"/>
        <v>13.4</v>
      </c>
      <c r="M48" s="8">
        <f t="shared" si="37"/>
        <v>12.5</v>
      </c>
      <c r="N48" s="8">
        <f t="shared" si="38"/>
        <v>11.5</v>
      </c>
      <c r="O48" s="8">
        <f t="shared" si="39"/>
        <v>10.6</v>
      </c>
      <c r="P48" s="8">
        <f t="shared" si="40"/>
        <v>9.6</v>
      </c>
    </row>
    <row r="49" spans="2:16" x14ac:dyDescent="0.25">
      <c r="B49" s="5"/>
      <c r="C49" s="5"/>
      <c r="D49" s="5"/>
      <c r="E49" s="6"/>
      <c r="F49" s="6"/>
      <c r="G49" s="6"/>
      <c r="H49" s="14"/>
      <c r="I49" s="7"/>
      <c r="J49" s="8"/>
      <c r="K49" s="8"/>
      <c r="L49" s="8"/>
      <c r="M49" s="8"/>
      <c r="N49" s="8"/>
      <c r="O49" s="8"/>
      <c r="P49" s="8"/>
    </row>
    <row r="50" spans="2:16" x14ac:dyDescent="0.25">
      <c r="E50" s="3" t="s">
        <v>8</v>
      </c>
      <c r="F50" s="3" t="s">
        <v>9</v>
      </c>
      <c r="G50" s="3"/>
      <c r="H50" s="14"/>
      <c r="I50" s="4" t="s">
        <v>11</v>
      </c>
      <c r="J50" s="13" t="s">
        <v>17</v>
      </c>
      <c r="K50" s="13" t="s">
        <v>16</v>
      </c>
      <c r="L50" s="13" t="s">
        <v>15</v>
      </c>
      <c r="M50" s="13" t="s">
        <v>14</v>
      </c>
      <c r="N50" s="13" t="s">
        <v>259</v>
      </c>
      <c r="O50" s="13" t="s">
        <v>13</v>
      </c>
      <c r="P50" s="13" t="s">
        <v>12</v>
      </c>
    </row>
    <row r="51" spans="2:16" x14ac:dyDescent="0.25">
      <c r="D51" t="s">
        <v>78</v>
      </c>
      <c r="E51" s="6" t="s">
        <v>79</v>
      </c>
      <c r="F51" s="6"/>
      <c r="G51" s="6" t="s">
        <v>20</v>
      </c>
      <c r="H51" s="14"/>
      <c r="I51" s="7"/>
      <c r="J51" s="8"/>
      <c r="K51" s="8"/>
      <c r="L51" s="8"/>
      <c r="M51" s="8"/>
      <c r="N51" s="8"/>
      <c r="O51" s="8"/>
      <c r="P51" s="8"/>
    </row>
    <row r="52" spans="2:16" x14ac:dyDescent="0.25">
      <c r="E52" s="6" t="s">
        <v>80</v>
      </c>
      <c r="F52" s="6"/>
      <c r="G52" s="6" t="s">
        <v>20</v>
      </c>
      <c r="H52" s="14"/>
      <c r="I52" s="7"/>
      <c r="J52" s="8"/>
      <c r="K52" s="8"/>
      <c r="L52" s="8"/>
      <c r="M52" s="8"/>
      <c r="N52" s="8"/>
      <c r="O52" s="8"/>
      <c r="P52" s="8"/>
    </row>
    <row r="53" spans="2:16" x14ac:dyDescent="0.25">
      <c r="E53" s="6" t="s">
        <v>81</v>
      </c>
      <c r="F53" s="6"/>
      <c r="G53" s="6" t="s">
        <v>20</v>
      </c>
      <c r="H53" s="14"/>
      <c r="I53" s="7"/>
      <c r="J53" s="8"/>
      <c r="K53" s="8"/>
      <c r="L53" s="8"/>
      <c r="M53" s="8"/>
      <c r="N53" s="8"/>
      <c r="O53" s="8"/>
      <c r="P53" s="8"/>
    </row>
    <row r="54" spans="2:16" x14ac:dyDescent="0.25">
      <c r="E54" s="6" t="s">
        <v>82</v>
      </c>
      <c r="F54" s="6"/>
      <c r="G54" s="6" t="s">
        <v>20</v>
      </c>
      <c r="H54" s="14"/>
      <c r="I54" s="7"/>
      <c r="J54" s="8"/>
      <c r="K54" s="8"/>
      <c r="L54" s="8"/>
      <c r="M54" s="8"/>
      <c r="N54" s="8"/>
      <c r="O54" s="8"/>
      <c r="P54" s="8"/>
    </row>
    <row r="55" spans="2:16" x14ac:dyDescent="0.25">
      <c r="E55" s="6" t="s">
        <v>83</v>
      </c>
      <c r="F55" s="6"/>
      <c r="G55" s="6" t="s">
        <v>20</v>
      </c>
      <c r="H55" s="14"/>
      <c r="I55" s="7"/>
      <c r="J55" s="8"/>
      <c r="K55" s="8"/>
      <c r="L55" s="8"/>
      <c r="M55" s="8"/>
      <c r="N55" s="8"/>
      <c r="O55" s="8"/>
      <c r="P55" s="8"/>
    </row>
    <row r="56" spans="2:16" x14ac:dyDescent="0.25">
      <c r="E56" s="6"/>
      <c r="F56" s="6"/>
      <c r="G56" s="6"/>
      <c r="H56" s="14"/>
      <c r="I56" s="7"/>
      <c r="J56" s="8"/>
      <c r="K56" s="8"/>
      <c r="L56" s="8"/>
      <c r="M56" s="8"/>
      <c r="N56" s="8"/>
      <c r="O56" s="8"/>
      <c r="P56" s="8"/>
    </row>
    <row r="57" spans="2:16" x14ac:dyDescent="0.25">
      <c r="E57" s="3" t="s">
        <v>8</v>
      </c>
      <c r="F57" s="3" t="s">
        <v>9</v>
      </c>
      <c r="G57" s="3"/>
      <c r="H57" s="14"/>
      <c r="I57" s="4" t="s">
        <v>11</v>
      </c>
      <c r="J57" s="13" t="s">
        <v>17</v>
      </c>
      <c r="K57" s="13" t="s">
        <v>16</v>
      </c>
      <c r="L57" s="13" t="s">
        <v>15</v>
      </c>
      <c r="M57" s="13" t="s">
        <v>14</v>
      </c>
      <c r="N57" s="13" t="s">
        <v>259</v>
      </c>
      <c r="O57" s="13" t="s">
        <v>13</v>
      </c>
      <c r="P57" s="13" t="s">
        <v>12</v>
      </c>
    </row>
    <row r="58" spans="2:16" x14ac:dyDescent="0.25">
      <c r="E58" s="6" t="s">
        <v>84</v>
      </c>
      <c r="F58" s="6" t="s">
        <v>85</v>
      </c>
      <c r="G58" s="6" t="s">
        <v>20</v>
      </c>
      <c r="H58" s="14">
        <f>VLOOKUP($F58,[1]PRODUTOS!$B:$E,2,0)</f>
        <v>2.9</v>
      </c>
      <c r="I58" s="7">
        <f>VLOOKUP($F58,[1]PRODUTOS!$B:$E,3,0)</f>
        <v>8</v>
      </c>
      <c r="J58" s="8">
        <f t="shared" ref="J58:J59" si="41">ROUND($P58*1.6,1)</f>
        <v>7.5</v>
      </c>
      <c r="K58" s="8">
        <f t="shared" ref="K58:K59" si="42">ROUND($P58*1.5,1)</f>
        <v>7.1</v>
      </c>
      <c r="L58" s="8">
        <f t="shared" ref="L58:L59" si="43">ROUND($P58*1.4,1)</f>
        <v>6.6</v>
      </c>
      <c r="M58" s="8">
        <f t="shared" ref="M58:M59" si="44">ROUND($P58*1.3,1)</f>
        <v>6.1</v>
      </c>
      <c r="N58" s="8">
        <f t="shared" ref="N58:N59" si="45">ROUND($P58*1.2,1)</f>
        <v>5.6</v>
      </c>
      <c r="O58" s="8">
        <f t="shared" ref="O58:O59" si="46">ROUND($P58*1.1,1)</f>
        <v>5.2</v>
      </c>
      <c r="P58" s="8">
        <f t="shared" ref="P58:P59" si="47">ROUNDUP($H58*1.6,1)</f>
        <v>4.6999999999999993</v>
      </c>
    </row>
    <row r="59" spans="2:16" x14ac:dyDescent="0.25">
      <c r="E59" s="6" t="s">
        <v>86</v>
      </c>
      <c r="F59" s="6" t="s">
        <v>87</v>
      </c>
      <c r="G59" s="6" t="s">
        <v>20</v>
      </c>
      <c r="H59" s="14">
        <f>VLOOKUP($F59,[1]PRODUTOS!$B:$E,2,0)</f>
        <v>1.95</v>
      </c>
      <c r="I59" s="7">
        <f>VLOOKUP($F59,[1]PRODUTOS!$B:$E,3,0)</f>
        <v>7</v>
      </c>
      <c r="J59" s="8">
        <f t="shared" si="41"/>
        <v>5.0999999999999996</v>
      </c>
      <c r="K59" s="8">
        <f t="shared" si="42"/>
        <v>4.8</v>
      </c>
      <c r="L59" s="8">
        <f t="shared" si="43"/>
        <v>4.5</v>
      </c>
      <c r="M59" s="8">
        <f t="shared" si="44"/>
        <v>4.2</v>
      </c>
      <c r="N59" s="8">
        <f t="shared" si="45"/>
        <v>3.8</v>
      </c>
      <c r="O59" s="8">
        <f t="shared" si="46"/>
        <v>3.5</v>
      </c>
      <c r="P59" s="8">
        <f t="shared" si="47"/>
        <v>3.2</v>
      </c>
    </row>
    <row r="60" spans="2:16" x14ac:dyDescent="0.25">
      <c r="E60" s="6"/>
      <c r="F60" s="6"/>
      <c r="G60" s="6"/>
      <c r="H60" s="14"/>
      <c r="I60" s="7"/>
      <c r="J60" s="8"/>
      <c r="K60" s="8"/>
      <c r="L60" s="8"/>
      <c r="M60" s="8"/>
      <c r="N60" s="8"/>
      <c r="O60" s="8"/>
      <c r="P60" s="8"/>
    </row>
    <row r="61" spans="2:16" x14ac:dyDescent="0.25">
      <c r="E61" s="3" t="s">
        <v>8</v>
      </c>
      <c r="F61" s="3" t="s">
        <v>9</v>
      </c>
      <c r="G61" s="3"/>
      <c r="H61" s="14"/>
      <c r="I61" s="4" t="s">
        <v>11</v>
      </c>
      <c r="J61" s="13" t="s">
        <v>17</v>
      </c>
      <c r="K61" s="13" t="s">
        <v>16</v>
      </c>
      <c r="L61" s="13" t="s">
        <v>15</v>
      </c>
      <c r="M61" s="13" t="s">
        <v>14</v>
      </c>
      <c r="N61" s="13" t="s">
        <v>259</v>
      </c>
      <c r="O61" s="13" t="s">
        <v>13</v>
      </c>
      <c r="P61" s="13" t="s">
        <v>12</v>
      </c>
    </row>
    <row r="62" spans="2:16" x14ac:dyDescent="0.25">
      <c r="E62" s="6" t="s">
        <v>88</v>
      </c>
      <c r="F62" s="6" t="s">
        <v>89</v>
      </c>
      <c r="G62" s="6" t="s">
        <v>20</v>
      </c>
      <c r="H62" s="14">
        <f>VLOOKUP($F62,[1]PRODUTOS!$B:$E,2,0)</f>
        <v>2.4</v>
      </c>
      <c r="I62" s="7">
        <f>VLOOKUP($F62,[1]PRODUTOS!$B:$E,3,0)</f>
        <v>4</v>
      </c>
      <c r="J62" s="8">
        <f t="shared" ref="J62:J63" si="48">ROUND($P62*1.6,1)</f>
        <v>6.2</v>
      </c>
      <c r="K62" s="8">
        <f t="shared" ref="K62:K63" si="49">ROUND($P62*1.5,1)</f>
        <v>5.9</v>
      </c>
      <c r="L62" s="8">
        <f t="shared" ref="L62:L63" si="50">ROUND($P62*1.4,1)</f>
        <v>5.5</v>
      </c>
      <c r="M62" s="8">
        <f t="shared" ref="M62:M63" si="51">ROUND($P62*1.3,1)</f>
        <v>5.0999999999999996</v>
      </c>
      <c r="N62" s="8">
        <f t="shared" ref="N62:N63" si="52">ROUND($P62*1.2,1)</f>
        <v>4.7</v>
      </c>
      <c r="O62" s="8">
        <f t="shared" ref="O62:O63" si="53">ROUND($P62*1.1,1)</f>
        <v>4.3</v>
      </c>
      <c r="P62" s="8">
        <f t="shared" ref="P62:P63" si="54">ROUNDUP($H62*1.6,1)</f>
        <v>3.9</v>
      </c>
    </row>
    <row r="63" spans="2:16" x14ac:dyDescent="0.25">
      <c r="E63" s="6" t="s">
        <v>90</v>
      </c>
      <c r="F63" s="6" t="s">
        <v>91</v>
      </c>
      <c r="G63" s="6" t="s">
        <v>20</v>
      </c>
      <c r="H63" s="14">
        <f>VLOOKUP($F63,[1]PRODUTOS!$B:$E,2,0)</f>
        <v>4.25</v>
      </c>
      <c r="I63" s="7">
        <f>VLOOKUP($F63,[1]PRODUTOS!$B:$E,3,0)</f>
        <v>6.3</v>
      </c>
      <c r="J63" s="8">
        <f t="shared" si="48"/>
        <v>10.9</v>
      </c>
      <c r="K63" s="8">
        <f t="shared" si="49"/>
        <v>10.199999999999999</v>
      </c>
      <c r="L63" s="8">
        <f t="shared" si="50"/>
        <v>9.5</v>
      </c>
      <c r="M63" s="8">
        <f t="shared" si="51"/>
        <v>8.8000000000000007</v>
      </c>
      <c r="N63" s="8">
        <f t="shared" si="52"/>
        <v>8.1999999999999993</v>
      </c>
      <c r="O63" s="8">
        <f t="shared" si="53"/>
        <v>7.5</v>
      </c>
      <c r="P63" s="8">
        <f t="shared" si="54"/>
        <v>6.8</v>
      </c>
    </row>
    <row r="64" spans="2:16" x14ac:dyDescent="0.25">
      <c r="E64" s="6"/>
      <c r="F64" s="6"/>
      <c r="G64" s="6"/>
      <c r="H64" s="14"/>
      <c r="I64" s="7"/>
      <c r="J64" s="8"/>
      <c r="K64" s="8"/>
      <c r="L64" s="8"/>
      <c r="M64" s="8"/>
      <c r="N64" s="8"/>
      <c r="O64" s="8"/>
      <c r="P64" s="8"/>
    </row>
    <row r="65" spans="5:16" x14ac:dyDescent="0.25">
      <c r="E65" s="15"/>
      <c r="F65" s="15"/>
      <c r="G65" s="15"/>
      <c r="H65" s="16"/>
      <c r="I65" s="17"/>
      <c r="J65" s="17"/>
      <c r="K65" s="17"/>
      <c r="L65" s="17"/>
      <c r="M65" s="17"/>
      <c r="N65" s="17"/>
      <c r="O65" s="17"/>
      <c r="P65" s="17"/>
    </row>
    <row r="66" spans="5:16" x14ac:dyDescent="0.25">
      <c r="E66" s="15"/>
      <c r="F66" s="15"/>
      <c r="G66" s="15"/>
      <c r="H66" s="16"/>
      <c r="I66" s="17"/>
      <c r="J66" s="17"/>
      <c r="K66" s="17"/>
      <c r="L66" s="17"/>
      <c r="M66" s="17"/>
      <c r="N66" s="17"/>
      <c r="O66" s="17"/>
      <c r="P66" s="17"/>
    </row>
    <row r="67" spans="5:16" x14ac:dyDescent="0.25">
      <c r="E67" s="6"/>
      <c r="F67" s="6"/>
      <c r="G67" s="6"/>
      <c r="H67" s="14"/>
      <c r="I67" s="7"/>
      <c r="J67" s="8"/>
      <c r="K67" s="8"/>
      <c r="L67" s="8"/>
      <c r="M67" s="8"/>
      <c r="N67" s="8"/>
      <c r="O67" s="8"/>
      <c r="P67" s="8"/>
    </row>
    <row r="68" spans="5:16" x14ac:dyDescent="0.25">
      <c r="E68" s="3" t="s">
        <v>8</v>
      </c>
      <c r="F68" s="3" t="s">
        <v>9</v>
      </c>
      <c r="G68" s="3"/>
      <c r="H68" s="14"/>
      <c r="I68" s="4" t="s">
        <v>11</v>
      </c>
      <c r="J68" s="13" t="s">
        <v>17</v>
      </c>
      <c r="K68" s="13" t="s">
        <v>16</v>
      </c>
      <c r="L68" s="13" t="s">
        <v>15</v>
      </c>
      <c r="M68" s="13" t="s">
        <v>14</v>
      </c>
      <c r="N68" s="13" t="s">
        <v>259</v>
      </c>
      <c r="O68" s="13" t="s">
        <v>13</v>
      </c>
      <c r="P68" s="13" t="s">
        <v>12</v>
      </c>
    </row>
    <row r="69" spans="5:16" x14ac:dyDescent="0.25">
      <c r="E69" s="6" t="s">
        <v>92</v>
      </c>
      <c r="F69" s="6" t="s">
        <v>93</v>
      </c>
      <c r="G69" s="6" t="s">
        <v>94</v>
      </c>
      <c r="H69" s="14">
        <v>0.7</v>
      </c>
      <c r="I69" s="7">
        <f>VLOOKUP($F69,[1]PRODUTOS!$B:$E,3,0)</f>
        <v>1.6</v>
      </c>
      <c r="J69" s="8"/>
      <c r="K69" s="8">
        <f t="shared" ref="K69:K77" si="55">ROUND($P69*1.5,1)</f>
        <v>2.1</v>
      </c>
      <c r="L69" s="8">
        <f t="shared" ref="L69:L77" si="56">ROUND($P69*1.4,1)</f>
        <v>2</v>
      </c>
      <c r="M69" s="8">
        <f t="shared" ref="M69:M77" si="57">ROUND($P69*1.3,1)</f>
        <v>1.8</v>
      </c>
      <c r="N69" s="8">
        <f t="shared" ref="N69:N77" si="58">ROUND($P69*1.2,1)</f>
        <v>1.7</v>
      </c>
      <c r="O69" s="8">
        <f t="shared" ref="O69:O77" si="59">ROUND($P69*1.1,1)</f>
        <v>1.5</v>
      </c>
      <c r="P69" s="8">
        <f>ROUNDUP($H69*1.9,1)</f>
        <v>1.4000000000000001</v>
      </c>
    </row>
    <row r="70" spans="5:16" x14ac:dyDescent="0.25">
      <c r="E70" s="6" t="s">
        <v>95</v>
      </c>
      <c r="F70" s="6" t="s">
        <v>96</v>
      </c>
      <c r="G70" s="6" t="s">
        <v>94</v>
      </c>
      <c r="H70" s="14">
        <f>VLOOKUP($F70,[1]PRODUTOS!$B:$E,2,0)</f>
        <v>1.075</v>
      </c>
      <c r="I70" s="7">
        <f>VLOOKUP($F70,[1]PRODUTOS!$B:$E,3,0)</f>
        <v>2.6</v>
      </c>
      <c r="J70" s="8"/>
      <c r="K70" s="8">
        <f t="shared" si="55"/>
        <v>3.2</v>
      </c>
      <c r="L70" s="8">
        <f t="shared" si="56"/>
        <v>2.9</v>
      </c>
      <c r="M70" s="8">
        <f t="shared" si="57"/>
        <v>2.7</v>
      </c>
      <c r="N70" s="8">
        <f t="shared" si="58"/>
        <v>2.5</v>
      </c>
      <c r="O70" s="8">
        <f t="shared" si="59"/>
        <v>2.2999999999999998</v>
      </c>
      <c r="P70" s="8">
        <f t="shared" ref="P70:P77" si="60">ROUNDUP($H70*1.9,1)</f>
        <v>2.1</v>
      </c>
    </row>
    <row r="71" spans="5:16" x14ac:dyDescent="0.25">
      <c r="E71" s="6" t="s">
        <v>97</v>
      </c>
      <c r="F71" s="6" t="s">
        <v>98</v>
      </c>
      <c r="G71" s="6" t="s">
        <v>94</v>
      </c>
      <c r="H71" s="14">
        <f>VLOOKUP($F71,[1]PRODUTOS!$B:$E,2,0)</f>
        <v>0.66</v>
      </c>
      <c r="I71" s="7">
        <f>VLOOKUP($F71,[1]PRODUTOS!$B:$E,3,0)</f>
        <v>1.7</v>
      </c>
      <c r="J71" s="8"/>
      <c r="K71" s="8">
        <f t="shared" si="55"/>
        <v>2</v>
      </c>
      <c r="L71" s="8">
        <f t="shared" si="56"/>
        <v>1.8</v>
      </c>
      <c r="M71" s="8">
        <f t="shared" si="57"/>
        <v>1.7</v>
      </c>
      <c r="N71" s="8">
        <f t="shared" si="58"/>
        <v>1.6</v>
      </c>
      <c r="O71" s="8">
        <f t="shared" si="59"/>
        <v>1.4</v>
      </c>
      <c r="P71" s="8">
        <f t="shared" si="60"/>
        <v>1.3</v>
      </c>
    </row>
    <row r="72" spans="5:16" x14ac:dyDescent="0.25">
      <c r="E72" s="6" t="s">
        <v>99</v>
      </c>
      <c r="F72" s="6" t="s">
        <v>100</v>
      </c>
      <c r="G72" s="6" t="s">
        <v>94</v>
      </c>
      <c r="H72" s="14">
        <f>VLOOKUP($F72,[1]PRODUTOS!$B:$E,2,0)</f>
        <v>0.79</v>
      </c>
      <c r="I72" s="7">
        <f>VLOOKUP($F72,[1]PRODUTOS!$B:$E,3,0)</f>
        <v>1.9</v>
      </c>
      <c r="J72" s="8"/>
      <c r="K72" s="8">
        <f t="shared" si="55"/>
        <v>2.4</v>
      </c>
      <c r="L72" s="8">
        <f t="shared" si="56"/>
        <v>2.2000000000000002</v>
      </c>
      <c r="M72" s="8">
        <f t="shared" si="57"/>
        <v>2.1</v>
      </c>
      <c r="N72" s="8">
        <f t="shared" si="58"/>
        <v>1.9</v>
      </c>
      <c r="O72" s="8">
        <f t="shared" si="59"/>
        <v>1.8</v>
      </c>
      <c r="P72" s="8">
        <f t="shared" si="60"/>
        <v>1.6</v>
      </c>
    </row>
    <row r="73" spans="5:16" x14ac:dyDescent="0.25">
      <c r="E73" s="6" t="s">
        <v>101</v>
      </c>
      <c r="F73" s="6" t="s">
        <v>102</v>
      </c>
      <c r="G73" s="6" t="s">
        <v>94</v>
      </c>
      <c r="H73" s="14">
        <f>VLOOKUP($F73,[1]PRODUTOS!$B:$E,2,0)</f>
        <v>0.85</v>
      </c>
      <c r="I73" s="7">
        <f>VLOOKUP($F73,[1]PRODUTOS!$B:$E,3,0)</f>
        <v>2.2999999999999998</v>
      </c>
      <c r="J73" s="8"/>
      <c r="K73" s="8">
        <f t="shared" si="55"/>
        <v>2.6</v>
      </c>
      <c r="L73" s="8">
        <f t="shared" si="56"/>
        <v>2.4</v>
      </c>
      <c r="M73" s="8">
        <f t="shared" si="57"/>
        <v>2.2000000000000002</v>
      </c>
      <c r="N73" s="8">
        <f t="shared" si="58"/>
        <v>2</v>
      </c>
      <c r="O73" s="8">
        <f t="shared" si="59"/>
        <v>1.9</v>
      </c>
      <c r="P73" s="8">
        <f t="shared" si="60"/>
        <v>1.7000000000000002</v>
      </c>
    </row>
    <row r="74" spans="5:16" x14ac:dyDescent="0.25">
      <c r="E74" s="6" t="s">
        <v>103</v>
      </c>
      <c r="F74" s="6" t="s">
        <v>104</v>
      </c>
      <c r="G74" s="6" t="s">
        <v>94</v>
      </c>
      <c r="H74" s="14">
        <f>VLOOKUP($F74,[1]PRODUTOS!$B:$E,2,0)</f>
        <v>0.9</v>
      </c>
      <c r="I74" s="7">
        <f>VLOOKUP($F74,[1]PRODUTOS!$B:$E,3,0)</f>
        <v>2.5</v>
      </c>
      <c r="J74" s="8"/>
      <c r="K74" s="8">
        <f t="shared" si="55"/>
        <v>2.7</v>
      </c>
      <c r="L74" s="8">
        <f t="shared" si="56"/>
        <v>2.5</v>
      </c>
      <c r="M74" s="8">
        <f t="shared" si="57"/>
        <v>2.2999999999999998</v>
      </c>
      <c r="N74" s="8">
        <f t="shared" si="58"/>
        <v>2.2000000000000002</v>
      </c>
      <c r="O74" s="8">
        <f t="shared" si="59"/>
        <v>2</v>
      </c>
      <c r="P74" s="8">
        <f t="shared" si="60"/>
        <v>1.8</v>
      </c>
    </row>
    <row r="75" spans="5:16" x14ac:dyDescent="0.25">
      <c r="E75" s="6" t="s">
        <v>105</v>
      </c>
      <c r="F75" s="6" t="s">
        <v>106</v>
      </c>
      <c r="G75" s="6" t="s">
        <v>94</v>
      </c>
      <c r="H75" s="14">
        <f>VLOOKUP($F75,[1]PRODUTOS!$B:$E,2,0)</f>
        <v>1.61</v>
      </c>
      <c r="I75" s="7">
        <f>VLOOKUP($F75,[1]PRODUTOS!$B:$E,3,0)</f>
        <v>3.6</v>
      </c>
      <c r="J75" s="8"/>
      <c r="K75" s="8">
        <f t="shared" si="55"/>
        <v>4.7</v>
      </c>
      <c r="L75" s="8">
        <f t="shared" si="56"/>
        <v>4.3</v>
      </c>
      <c r="M75" s="8">
        <f t="shared" si="57"/>
        <v>4</v>
      </c>
      <c r="N75" s="8">
        <f t="shared" si="58"/>
        <v>3.7</v>
      </c>
      <c r="O75" s="8">
        <f t="shared" si="59"/>
        <v>3.4</v>
      </c>
      <c r="P75" s="8">
        <f t="shared" si="60"/>
        <v>3.1</v>
      </c>
    </row>
    <row r="76" spans="5:16" x14ac:dyDescent="0.25">
      <c r="E76" s="6" t="s">
        <v>107</v>
      </c>
      <c r="F76" s="6" t="s">
        <v>108</v>
      </c>
      <c r="G76" s="6" t="s">
        <v>94</v>
      </c>
      <c r="H76" s="14">
        <f>VLOOKUP($F76,[1]PRODUTOS!$B:$E,2,0)</f>
        <v>1.59</v>
      </c>
      <c r="I76" s="7">
        <f>VLOOKUP($F76,[1]PRODUTOS!$B:$E,3,0)</f>
        <v>3.7</v>
      </c>
      <c r="J76" s="8"/>
      <c r="K76" s="8">
        <f t="shared" si="55"/>
        <v>4.7</v>
      </c>
      <c r="L76" s="8">
        <f t="shared" si="56"/>
        <v>4.3</v>
      </c>
      <c r="M76" s="8">
        <f t="shared" si="57"/>
        <v>4</v>
      </c>
      <c r="N76" s="8">
        <f t="shared" si="58"/>
        <v>3.7</v>
      </c>
      <c r="O76" s="8">
        <f t="shared" si="59"/>
        <v>3.4</v>
      </c>
      <c r="P76" s="8">
        <f t="shared" si="60"/>
        <v>3.1</v>
      </c>
    </row>
    <row r="77" spans="5:16" x14ac:dyDescent="0.25">
      <c r="E77" s="6" t="s">
        <v>109</v>
      </c>
      <c r="F77" s="6" t="s">
        <v>110</v>
      </c>
      <c r="G77" s="6" t="s">
        <v>94</v>
      </c>
      <c r="H77" s="14">
        <f>VLOOKUP($F77,[1]PRODUTOS!$B:$E,2,0)</f>
        <v>0.73499999999999999</v>
      </c>
      <c r="I77" s="7">
        <f>VLOOKUP($F77,[1]PRODUTOS!$B:$E,3,0)</f>
        <v>1.6</v>
      </c>
      <c r="J77" s="8"/>
      <c r="K77" s="8">
        <f t="shared" si="55"/>
        <v>2.1</v>
      </c>
      <c r="L77" s="8">
        <f t="shared" si="56"/>
        <v>2</v>
      </c>
      <c r="M77" s="8">
        <f t="shared" si="57"/>
        <v>1.8</v>
      </c>
      <c r="N77" s="8">
        <f t="shared" si="58"/>
        <v>1.7</v>
      </c>
      <c r="O77" s="8">
        <f t="shared" si="59"/>
        <v>1.5</v>
      </c>
      <c r="P77" s="8">
        <f t="shared" si="60"/>
        <v>1.4000000000000001</v>
      </c>
    </row>
    <row r="78" spans="5:16" x14ac:dyDescent="0.25">
      <c r="E78" s="6"/>
      <c r="F78" s="6"/>
      <c r="G78" s="6"/>
      <c r="H78" s="14"/>
      <c r="I78" s="7"/>
      <c r="J78" s="8"/>
      <c r="K78" s="8"/>
      <c r="L78" s="8"/>
      <c r="M78" s="8"/>
      <c r="N78" s="8"/>
      <c r="O78" s="8"/>
      <c r="P78" s="8"/>
    </row>
    <row r="79" spans="5:16" x14ac:dyDescent="0.25">
      <c r="E79" s="6"/>
      <c r="F79" s="6"/>
      <c r="G79" s="6"/>
      <c r="H79" s="14"/>
      <c r="I79" s="7"/>
      <c r="J79" s="8"/>
      <c r="K79" s="8"/>
      <c r="L79" s="8"/>
      <c r="M79" s="8"/>
      <c r="N79" s="8"/>
      <c r="O79" s="8"/>
      <c r="P79" s="8"/>
    </row>
    <row r="80" spans="5:16" x14ac:dyDescent="0.25">
      <c r="E80" s="3" t="s">
        <v>8</v>
      </c>
      <c r="F80" s="3" t="s">
        <v>9</v>
      </c>
      <c r="G80" s="3"/>
      <c r="H80" s="14"/>
      <c r="I80" s="4" t="s">
        <v>11</v>
      </c>
      <c r="J80" s="13" t="s">
        <v>17</v>
      </c>
      <c r="K80" s="13" t="s">
        <v>16</v>
      </c>
      <c r="L80" s="13" t="s">
        <v>15</v>
      </c>
      <c r="M80" s="13" t="s">
        <v>14</v>
      </c>
      <c r="N80" s="13" t="s">
        <v>259</v>
      </c>
      <c r="O80" s="13" t="s">
        <v>13</v>
      </c>
      <c r="P80" s="13" t="s">
        <v>12</v>
      </c>
    </row>
    <row r="81" spans="5:16" x14ac:dyDescent="0.25">
      <c r="E81" s="6" t="s">
        <v>111</v>
      </c>
      <c r="F81" s="6" t="s">
        <v>112</v>
      </c>
      <c r="G81" s="6" t="s">
        <v>94</v>
      </c>
      <c r="H81" s="14">
        <f>VLOOKUP($F81,[1]PRODUTOS!$B:$E,2,0)</f>
        <v>0.82</v>
      </c>
      <c r="I81" s="7">
        <f>VLOOKUP($F81,[1]PRODUTOS!$B:$E,3,0)</f>
        <v>2</v>
      </c>
      <c r="J81" s="8"/>
      <c r="K81" s="8">
        <f t="shared" ref="K81:K85" si="61">ROUND($P81*1.5,1)</f>
        <v>2.4</v>
      </c>
      <c r="L81" s="8">
        <f t="shared" ref="L81:L85" si="62">ROUND($P81*1.4,1)</f>
        <v>2.2000000000000002</v>
      </c>
      <c r="M81" s="8">
        <f t="shared" ref="M81:M85" si="63">ROUND($P81*1.3,1)</f>
        <v>2.1</v>
      </c>
      <c r="N81" s="8">
        <f t="shared" ref="N81:N85" si="64">ROUND($P81*1.2,1)</f>
        <v>1.9</v>
      </c>
      <c r="O81" s="8">
        <f t="shared" ref="O81:O85" si="65">ROUND($P81*1.1,1)</f>
        <v>1.8</v>
      </c>
      <c r="P81" s="8">
        <f t="shared" ref="P81:P85" si="66">ROUNDUP($H81*1.9,1)</f>
        <v>1.6</v>
      </c>
    </row>
    <row r="82" spans="5:16" x14ac:dyDescent="0.25">
      <c r="E82" s="6" t="s">
        <v>113</v>
      </c>
      <c r="F82" s="6" t="s">
        <v>114</v>
      </c>
      <c r="G82" s="6" t="s">
        <v>94</v>
      </c>
      <c r="H82" s="14">
        <f>VLOOKUP($F82,[1]PRODUTOS!$B:$E,2,0)</f>
        <v>0.7</v>
      </c>
      <c r="I82" s="7">
        <f>VLOOKUP($F82,[1]PRODUTOS!$B:$E,3,0)</f>
        <v>2.4</v>
      </c>
      <c r="J82" s="8"/>
      <c r="K82" s="8">
        <f t="shared" si="61"/>
        <v>2.1</v>
      </c>
      <c r="L82" s="8">
        <f t="shared" si="62"/>
        <v>2</v>
      </c>
      <c r="M82" s="8">
        <f t="shared" si="63"/>
        <v>1.8</v>
      </c>
      <c r="N82" s="8">
        <f t="shared" si="64"/>
        <v>1.7</v>
      </c>
      <c r="O82" s="8">
        <f t="shared" si="65"/>
        <v>1.5</v>
      </c>
      <c r="P82" s="8">
        <f t="shared" si="66"/>
        <v>1.4000000000000001</v>
      </c>
    </row>
    <row r="83" spans="5:16" x14ac:dyDescent="0.25">
      <c r="E83" s="6" t="s">
        <v>115</v>
      </c>
      <c r="F83" s="6" t="s">
        <v>116</v>
      </c>
      <c r="G83" s="6" t="s">
        <v>94</v>
      </c>
      <c r="H83" s="14">
        <f>VLOOKUP($F83,[1]PRODUTOS!$B:$E,2,0)</f>
        <v>1.2</v>
      </c>
      <c r="I83" s="7">
        <f>VLOOKUP($F83,[1]PRODUTOS!$B:$E,3,0)</f>
        <v>2.8</v>
      </c>
      <c r="J83" s="8"/>
      <c r="K83" s="8">
        <f t="shared" si="61"/>
        <v>3.5</v>
      </c>
      <c r="L83" s="8">
        <f t="shared" si="62"/>
        <v>3.2</v>
      </c>
      <c r="M83" s="8">
        <f t="shared" si="63"/>
        <v>3</v>
      </c>
      <c r="N83" s="8">
        <f t="shared" si="64"/>
        <v>2.8</v>
      </c>
      <c r="O83" s="8">
        <f t="shared" si="65"/>
        <v>2.5</v>
      </c>
      <c r="P83" s="8">
        <f t="shared" si="66"/>
        <v>2.3000000000000003</v>
      </c>
    </row>
    <row r="84" spans="5:16" x14ac:dyDescent="0.25">
      <c r="E84" s="6" t="s">
        <v>117</v>
      </c>
      <c r="F84" s="6" t="s">
        <v>118</v>
      </c>
      <c r="G84" s="6" t="s">
        <v>94</v>
      </c>
      <c r="H84" s="14">
        <f>VLOOKUP($F84,[1]PRODUTOS!$B:$E,2,0)</f>
        <v>0.84</v>
      </c>
      <c r="I84" s="7">
        <f>VLOOKUP($F84,[1]PRODUTOS!$B:$E,3,0)</f>
        <v>3.2</v>
      </c>
      <c r="J84" s="8"/>
      <c r="K84" s="8">
        <f t="shared" si="61"/>
        <v>2.4</v>
      </c>
      <c r="L84" s="8">
        <f t="shared" si="62"/>
        <v>2.2000000000000002</v>
      </c>
      <c r="M84" s="8">
        <f t="shared" si="63"/>
        <v>2.1</v>
      </c>
      <c r="N84" s="8">
        <f t="shared" si="64"/>
        <v>1.9</v>
      </c>
      <c r="O84" s="8">
        <f t="shared" si="65"/>
        <v>1.8</v>
      </c>
      <c r="P84" s="8">
        <f t="shared" si="66"/>
        <v>1.6</v>
      </c>
    </row>
    <row r="85" spans="5:16" x14ac:dyDescent="0.25">
      <c r="E85" s="6" t="s">
        <v>119</v>
      </c>
      <c r="F85" s="6" t="s">
        <v>120</v>
      </c>
      <c r="G85" s="6" t="s">
        <v>94</v>
      </c>
      <c r="H85" s="14">
        <f>VLOOKUP($F85,[1]PRODUTOS!$B:$E,2,0)</f>
        <v>1.6</v>
      </c>
      <c r="I85" s="7">
        <f>VLOOKUP($F85,[1]PRODUTOS!$B:$E,3,0)</f>
        <v>3.4</v>
      </c>
      <c r="J85" s="8"/>
      <c r="K85" s="8">
        <f t="shared" si="61"/>
        <v>4.7</v>
      </c>
      <c r="L85" s="8">
        <f t="shared" si="62"/>
        <v>4.3</v>
      </c>
      <c r="M85" s="8">
        <f t="shared" si="63"/>
        <v>4</v>
      </c>
      <c r="N85" s="8">
        <f t="shared" si="64"/>
        <v>3.7</v>
      </c>
      <c r="O85" s="8">
        <f t="shared" si="65"/>
        <v>3.4</v>
      </c>
      <c r="P85" s="8">
        <f t="shared" si="66"/>
        <v>3.1</v>
      </c>
    </row>
    <row r="86" spans="5:16" x14ac:dyDescent="0.25">
      <c r="E86" s="6"/>
      <c r="F86" s="6"/>
      <c r="G86" s="6"/>
      <c r="H86" s="14"/>
      <c r="I86" s="7"/>
      <c r="J86" s="8"/>
      <c r="K86" s="8"/>
      <c r="L86" s="8"/>
      <c r="M86" s="8"/>
      <c r="N86" s="8"/>
      <c r="O86" s="8"/>
      <c r="P86" s="8"/>
    </row>
    <row r="87" spans="5:16" x14ac:dyDescent="0.25">
      <c r="E87" s="3" t="s">
        <v>8</v>
      </c>
      <c r="F87" s="3" t="s">
        <v>9</v>
      </c>
      <c r="G87" s="3"/>
      <c r="H87" s="14"/>
      <c r="I87" s="4" t="s">
        <v>11</v>
      </c>
      <c r="J87" s="13" t="s">
        <v>17</v>
      </c>
      <c r="K87" s="13" t="s">
        <v>16</v>
      </c>
      <c r="L87" s="13" t="s">
        <v>15</v>
      </c>
      <c r="M87" s="13" t="s">
        <v>14</v>
      </c>
      <c r="N87" s="13" t="s">
        <v>259</v>
      </c>
      <c r="O87" s="13" t="s">
        <v>13</v>
      </c>
      <c r="P87" s="13" t="s">
        <v>12</v>
      </c>
    </row>
    <row r="88" spans="5:16" x14ac:dyDescent="0.25">
      <c r="E88" s="6" t="s">
        <v>121</v>
      </c>
      <c r="F88" s="6" t="s">
        <v>122</v>
      </c>
      <c r="G88" s="6" t="s">
        <v>94</v>
      </c>
      <c r="H88" s="14">
        <f>VLOOKUP($F88,[1]PRODUTOS!$B:$E,2,0)</f>
        <v>1.1200000000000001</v>
      </c>
      <c r="I88" s="7">
        <f>VLOOKUP($F88,[1]PRODUTOS!$B:$E,3,0)</f>
        <v>2.8</v>
      </c>
      <c r="J88" s="8"/>
      <c r="K88" s="8">
        <f t="shared" ref="K88:K89" si="67">ROUND($P88*1.5,1)</f>
        <v>3.3</v>
      </c>
      <c r="L88" s="8">
        <f t="shared" ref="L88:L89" si="68">ROUND($P88*1.4,1)</f>
        <v>3.1</v>
      </c>
      <c r="M88" s="8">
        <f t="shared" ref="M88:M89" si="69">ROUND($P88*1.3,1)</f>
        <v>2.9</v>
      </c>
      <c r="N88" s="8">
        <f t="shared" ref="N88:N89" si="70">ROUND($P88*1.2,1)</f>
        <v>2.6</v>
      </c>
      <c r="O88" s="8">
        <f t="shared" ref="O88:O89" si="71">ROUND($P88*1.1,1)</f>
        <v>2.4</v>
      </c>
      <c r="P88" s="8">
        <f t="shared" ref="P88:P89" si="72">ROUNDUP($H88*1.9,1)</f>
        <v>2.2000000000000002</v>
      </c>
    </row>
    <row r="89" spans="5:16" x14ac:dyDescent="0.25">
      <c r="E89" s="6" t="s">
        <v>123</v>
      </c>
      <c r="F89" s="6" t="s">
        <v>124</v>
      </c>
      <c r="G89" s="6" t="s">
        <v>94</v>
      </c>
      <c r="H89" s="14">
        <f>VLOOKUP($F89,[1]PRODUTOS!$B:$E,2,0)</f>
        <v>1.2</v>
      </c>
      <c r="I89" s="7">
        <f>VLOOKUP($F89,[1]PRODUTOS!$B:$E,3,0)</f>
        <v>3.2</v>
      </c>
      <c r="J89" s="8"/>
      <c r="K89" s="8">
        <f t="shared" si="67"/>
        <v>3.5</v>
      </c>
      <c r="L89" s="8">
        <f t="shared" si="68"/>
        <v>3.2</v>
      </c>
      <c r="M89" s="8">
        <f t="shared" si="69"/>
        <v>3</v>
      </c>
      <c r="N89" s="8">
        <f t="shared" si="70"/>
        <v>2.8</v>
      </c>
      <c r="O89" s="8">
        <f t="shared" si="71"/>
        <v>2.5</v>
      </c>
      <c r="P89" s="8">
        <f t="shared" si="72"/>
        <v>2.3000000000000003</v>
      </c>
    </row>
    <row r="90" spans="5:16" x14ac:dyDescent="0.25">
      <c r="E90" s="6"/>
      <c r="F90" s="6"/>
      <c r="G90" s="6"/>
      <c r="H90" s="14"/>
      <c r="I90" s="7"/>
      <c r="J90" s="8"/>
      <c r="K90" s="8"/>
      <c r="L90" s="8"/>
      <c r="M90" s="8"/>
      <c r="N90" s="8"/>
      <c r="O90" s="8"/>
      <c r="P90" s="8"/>
    </row>
    <row r="91" spans="5:16" x14ac:dyDescent="0.25">
      <c r="E91" s="3" t="s">
        <v>8</v>
      </c>
      <c r="F91" s="3" t="s">
        <v>9</v>
      </c>
      <c r="G91" s="3"/>
      <c r="H91" s="14"/>
      <c r="I91" s="4" t="s">
        <v>11</v>
      </c>
      <c r="J91" s="13" t="s">
        <v>17</v>
      </c>
      <c r="K91" s="13" t="s">
        <v>16</v>
      </c>
      <c r="L91" s="13" t="s">
        <v>15</v>
      </c>
      <c r="M91" s="13" t="s">
        <v>14</v>
      </c>
      <c r="N91" s="13" t="s">
        <v>259</v>
      </c>
      <c r="O91" s="13" t="s">
        <v>13</v>
      </c>
      <c r="P91" s="13" t="s">
        <v>12</v>
      </c>
    </row>
    <row r="92" spans="5:16" x14ac:dyDescent="0.25">
      <c r="E92" s="6" t="s">
        <v>125</v>
      </c>
      <c r="F92" s="6" t="s">
        <v>126</v>
      </c>
      <c r="G92" s="6" t="s">
        <v>94</v>
      </c>
      <c r="H92" s="14">
        <f>VLOOKUP($F92,[1]PRODUTOS!$B:$E,2,0)</f>
        <v>2.2000000000000002</v>
      </c>
      <c r="I92" s="7">
        <f>VLOOKUP($F92,[1]PRODUTOS!$B:$E,3,0)</f>
        <v>4</v>
      </c>
      <c r="J92" s="8"/>
      <c r="K92" s="8">
        <f t="shared" ref="K92:K95" si="73">ROUND($P92*1.5,1)</f>
        <v>5.4</v>
      </c>
      <c r="L92" s="8">
        <f t="shared" ref="L92:L95" si="74">ROUND($P92*1.4,1)</f>
        <v>5</v>
      </c>
      <c r="M92" s="8">
        <f t="shared" ref="M92:M95" si="75">ROUND($P92*1.3,1)</f>
        <v>4.7</v>
      </c>
      <c r="N92" s="8">
        <f t="shared" ref="N92:N95" si="76">ROUND($P92*1.2,1)</f>
        <v>4.3</v>
      </c>
      <c r="O92" s="8">
        <f t="shared" ref="O92:O95" si="77">ROUND($P92*1.1,1)</f>
        <v>4</v>
      </c>
      <c r="P92" s="8">
        <f>ROUNDUP($H92*1.6,1)</f>
        <v>3.6</v>
      </c>
    </row>
    <row r="93" spans="5:16" x14ac:dyDescent="0.25">
      <c r="E93" s="6" t="s">
        <v>127</v>
      </c>
      <c r="F93" s="6" t="s">
        <v>128</v>
      </c>
      <c r="G93" s="6" t="s">
        <v>94</v>
      </c>
      <c r="H93" s="14">
        <f>VLOOKUP($F93,[1]PRODUTOS!$B:$E,2,0)</f>
        <v>3.6</v>
      </c>
      <c r="I93" s="7">
        <f>VLOOKUP($F93,[1]PRODUTOS!$B:$E,3,0)</f>
        <v>6.3</v>
      </c>
      <c r="J93" s="8"/>
      <c r="K93" s="8">
        <f t="shared" si="73"/>
        <v>8.6999999999999993</v>
      </c>
      <c r="L93" s="8">
        <f t="shared" si="74"/>
        <v>8.1</v>
      </c>
      <c r="M93" s="8">
        <f t="shared" si="75"/>
        <v>7.5</v>
      </c>
      <c r="N93" s="8">
        <f t="shared" si="76"/>
        <v>7</v>
      </c>
      <c r="O93" s="8">
        <f t="shared" si="77"/>
        <v>6.4</v>
      </c>
      <c r="P93" s="8">
        <f t="shared" ref="P93:P95" si="78">ROUNDUP($H93*1.6,1)</f>
        <v>5.8</v>
      </c>
    </row>
    <row r="94" spans="5:16" x14ac:dyDescent="0.25">
      <c r="E94" s="6" t="s">
        <v>129</v>
      </c>
      <c r="F94" s="6" t="s">
        <v>130</v>
      </c>
      <c r="G94" s="6" t="s">
        <v>94</v>
      </c>
      <c r="H94" s="14">
        <f>VLOOKUP($F94,[1]PRODUTOS!$B:$E,2,0)</f>
        <v>4.8</v>
      </c>
      <c r="I94" s="7">
        <f>VLOOKUP($F94,[1]PRODUTOS!$B:$E,3,0)</f>
        <v>8.4</v>
      </c>
      <c r="J94" s="8"/>
      <c r="K94" s="8">
        <f t="shared" si="73"/>
        <v>11.6</v>
      </c>
      <c r="L94" s="8">
        <f t="shared" si="74"/>
        <v>10.8</v>
      </c>
      <c r="M94" s="8">
        <f t="shared" si="75"/>
        <v>10</v>
      </c>
      <c r="N94" s="8">
        <f t="shared" si="76"/>
        <v>9.1999999999999993</v>
      </c>
      <c r="O94" s="8">
        <f t="shared" si="77"/>
        <v>8.5</v>
      </c>
      <c r="P94" s="8">
        <f t="shared" si="78"/>
        <v>7.6999999999999993</v>
      </c>
    </row>
    <row r="95" spans="5:16" x14ac:dyDescent="0.25">
      <c r="E95" s="6" t="s">
        <v>131</v>
      </c>
      <c r="F95" s="6" t="s">
        <v>132</v>
      </c>
      <c r="G95" s="6" t="s">
        <v>94</v>
      </c>
      <c r="H95" s="14">
        <f>VLOOKUP($F95,[1]PRODUTOS!$B:$E,2,0)</f>
        <v>5.7</v>
      </c>
      <c r="I95" s="7">
        <f>VLOOKUP($F95,[1]PRODUTOS!$B:$E,3,0)</f>
        <v>10</v>
      </c>
      <c r="J95" s="8"/>
      <c r="K95" s="8">
        <f t="shared" si="73"/>
        <v>13.8</v>
      </c>
      <c r="L95" s="8">
        <f t="shared" si="74"/>
        <v>12.9</v>
      </c>
      <c r="M95" s="8">
        <f t="shared" si="75"/>
        <v>12</v>
      </c>
      <c r="N95" s="8">
        <f t="shared" si="76"/>
        <v>11</v>
      </c>
      <c r="O95" s="8">
        <f t="shared" si="77"/>
        <v>10.1</v>
      </c>
      <c r="P95" s="8">
        <f t="shared" si="78"/>
        <v>9.1999999999999993</v>
      </c>
    </row>
    <row r="96" spans="5:16" x14ac:dyDescent="0.25">
      <c r="E96" s="6"/>
      <c r="F96" s="6"/>
      <c r="G96" s="6"/>
      <c r="H96" s="14"/>
      <c r="I96" s="7"/>
      <c r="J96" s="8"/>
      <c r="K96" s="8"/>
      <c r="L96" s="8"/>
      <c r="M96" s="8"/>
      <c r="N96" s="8"/>
      <c r="O96" s="8"/>
      <c r="P96" s="8"/>
    </row>
    <row r="97" spans="2:16" x14ac:dyDescent="0.25">
      <c r="E97" s="3" t="s">
        <v>8</v>
      </c>
      <c r="F97" s="3" t="s">
        <v>9</v>
      </c>
      <c r="G97" s="3"/>
      <c r="H97" s="14"/>
      <c r="I97" s="4" t="s">
        <v>11</v>
      </c>
      <c r="J97" s="13" t="s">
        <v>17</v>
      </c>
      <c r="K97" s="13" t="s">
        <v>16</v>
      </c>
      <c r="L97" s="13" t="s">
        <v>15</v>
      </c>
      <c r="M97" s="13" t="s">
        <v>14</v>
      </c>
      <c r="N97" s="13" t="s">
        <v>259</v>
      </c>
      <c r="O97" s="13" t="s">
        <v>13</v>
      </c>
      <c r="P97" s="13" t="s">
        <v>12</v>
      </c>
    </row>
    <row r="98" spans="2:16" x14ac:dyDescent="0.25">
      <c r="E98" s="6" t="s">
        <v>133</v>
      </c>
      <c r="F98" s="6" t="s">
        <v>134</v>
      </c>
      <c r="G98" s="6" t="s">
        <v>94</v>
      </c>
      <c r="H98" s="14">
        <f>VLOOKUP($F98,[1]PRODUTOS!$B:$E,2,0)</f>
        <v>1.2</v>
      </c>
      <c r="I98" s="7">
        <f>VLOOKUP($F98,[1]PRODUTOS!$B:$E,3,0)</f>
        <v>3</v>
      </c>
      <c r="J98" s="8"/>
      <c r="K98" s="8">
        <f t="shared" ref="K98:K109" si="79">ROUND($P98*1.5,1)</f>
        <v>3.2</v>
      </c>
      <c r="L98" s="8">
        <f t="shared" ref="L98:L109" si="80">ROUND($P98*1.4,1)</f>
        <v>2.9</v>
      </c>
      <c r="M98" s="8">
        <f t="shared" ref="M98:M109" si="81">ROUND($P98*1.3,1)</f>
        <v>2.7</v>
      </c>
      <c r="N98" s="8">
        <f t="shared" ref="N98:N109" si="82">ROUND($P98*1.2,1)</f>
        <v>2.5</v>
      </c>
      <c r="O98" s="8">
        <f t="shared" ref="O98:O109" si="83">ROUND($P98*1.1,1)</f>
        <v>2.2999999999999998</v>
      </c>
      <c r="P98" s="8">
        <f>ROUNDUP($H98*1.75,1)</f>
        <v>2.1</v>
      </c>
    </row>
    <row r="99" spans="2:16" x14ac:dyDescent="0.25">
      <c r="E99" s="6" t="s">
        <v>135</v>
      </c>
      <c r="F99" s="6" t="s">
        <v>136</v>
      </c>
      <c r="G99" s="6" t="s">
        <v>94</v>
      </c>
      <c r="H99" s="14">
        <f>VLOOKUP($F99,[1]PRODUTOS!$B:$E,2,0)</f>
        <v>1.2</v>
      </c>
      <c r="I99" s="7">
        <f>VLOOKUP($F99,[1]PRODUTOS!$B:$E,3,0)</f>
        <v>3</v>
      </c>
      <c r="J99" s="8"/>
      <c r="K99" s="8">
        <f t="shared" si="79"/>
        <v>3.2</v>
      </c>
      <c r="L99" s="8">
        <f t="shared" si="80"/>
        <v>2.9</v>
      </c>
      <c r="M99" s="8">
        <f t="shared" si="81"/>
        <v>2.7</v>
      </c>
      <c r="N99" s="8">
        <f t="shared" si="82"/>
        <v>2.5</v>
      </c>
      <c r="O99" s="8">
        <f t="shared" si="83"/>
        <v>2.2999999999999998</v>
      </c>
      <c r="P99" s="8">
        <f t="shared" ref="P99:P109" si="84">ROUNDUP($H99*1.75,1)</f>
        <v>2.1</v>
      </c>
    </row>
    <row r="100" spans="2:16" x14ac:dyDescent="0.25">
      <c r="E100" s="6" t="s">
        <v>137</v>
      </c>
      <c r="F100" s="6" t="s">
        <v>138</v>
      </c>
      <c r="G100" s="6" t="s">
        <v>94</v>
      </c>
      <c r="H100" s="14">
        <f>VLOOKUP($F100,[1]PRODUTOS!$B:$E,2,0)</f>
        <v>1.2</v>
      </c>
      <c r="I100" s="7">
        <f>VLOOKUP($F100,[1]PRODUTOS!$B:$E,3,0)</f>
        <v>3</v>
      </c>
      <c r="J100" s="8"/>
      <c r="K100" s="8">
        <f t="shared" si="79"/>
        <v>3.2</v>
      </c>
      <c r="L100" s="8">
        <f t="shared" si="80"/>
        <v>2.9</v>
      </c>
      <c r="M100" s="8">
        <f t="shared" si="81"/>
        <v>2.7</v>
      </c>
      <c r="N100" s="8">
        <f t="shared" si="82"/>
        <v>2.5</v>
      </c>
      <c r="O100" s="8">
        <f t="shared" si="83"/>
        <v>2.2999999999999998</v>
      </c>
      <c r="P100" s="8">
        <f t="shared" si="84"/>
        <v>2.1</v>
      </c>
    </row>
    <row r="101" spans="2:16" x14ac:dyDescent="0.25">
      <c r="E101" s="6" t="s">
        <v>139</v>
      </c>
      <c r="F101" s="6" t="s">
        <v>140</v>
      </c>
      <c r="G101" s="6" t="s">
        <v>94</v>
      </c>
      <c r="H101" s="14">
        <f>VLOOKUP($F101,[1]PRODUTOS!$B:$E,2,0)</f>
        <v>1.4</v>
      </c>
      <c r="I101" s="7">
        <f>VLOOKUP($F101,[1]PRODUTOS!$B:$E,3,0)</f>
        <v>3.5</v>
      </c>
      <c r="J101" s="8"/>
      <c r="K101" s="8">
        <f t="shared" si="79"/>
        <v>3.8</v>
      </c>
      <c r="L101" s="8">
        <f t="shared" si="80"/>
        <v>3.5</v>
      </c>
      <c r="M101" s="8">
        <f t="shared" si="81"/>
        <v>3.3</v>
      </c>
      <c r="N101" s="8">
        <f t="shared" si="82"/>
        <v>3</v>
      </c>
      <c r="O101" s="8">
        <f t="shared" si="83"/>
        <v>2.8</v>
      </c>
      <c r="P101" s="8">
        <f t="shared" si="84"/>
        <v>2.5</v>
      </c>
    </row>
    <row r="102" spans="2:16" x14ac:dyDescent="0.25">
      <c r="E102" s="6" t="s">
        <v>141</v>
      </c>
      <c r="F102" s="6" t="s">
        <v>142</v>
      </c>
      <c r="G102" s="6" t="s">
        <v>94</v>
      </c>
      <c r="H102" s="14">
        <f>VLOOKUP($F102,[1]PRODUTOS!$B:$E,2,0)</f>
        <v>1.4</v>
      </c>
      <c r="I102" s="7">
        <f>VLOOKUP($F102,[1]PRODUTOS!$B:$E,3,0)</f>
        <v>3.5</v>
      </c>
      <c r="J102" s="8"/>
      <c r="K102" s="8">
        <f t="shared" si="79"/>
        <v>3.8</v>
      </c>
      <c r="L102" s="8">
        <f t="shared" si="80"/>
        <v>3.5</v>
      </c>
      <c r="M102" s="8">
        <f t="shared" si="81"/>
        <v>3.3</v>
      </c>
      <c r="N102" s="8">
        <f t="shared" si="82"/>
        <v>3</v>
      </c>
      <c r="O102" s="8">
        <f t="shared" si="83"/>
        <v>2.8</v>
      </c>
      <c r="P102" s="8">
        <f t="shared" si="84"/>
        <v>2.5</v>
      </c>
    </row>
    <row r="103" spans="2:16" x14ac:dyDescent="0.25">
      <c r="E103" s="6" t="s">
        <v>143</v>
      </c>
      <c r="F103" s="6" t="s">
        <v>144</v>
      </c>
      <c r="G103" s="6" t="s">
        <v>94</v>
      </c>
      <c r="H103" s="14">
        <f>VLOOKUP($F103,[1]PRODUTOS!$B:$E,2,0)</f>
        <v>1.4</v>
      </c>
      <c r="I103" s="7">
        <f>VLOOKUP($F103,[1]PRODUTOS!$B:$E,3,0)</f>
        <v>3.5</v>
      </c>
      <c r="J103" s="8"/>
      <c r="K103" s="8">
        <f t="shared" si="79"/>
        <v>3.8</v>
      </c>
      <c r="L103" s="8">
        <f t="shared" si="80"/>
        <v>3.5</v>
      </c>
      <c r="M103" s="8">
        <f t="shared" si="81"/>
        <v>3.3</v>
      </c>
      <c r="N103" s="8">
        <f t="shared" si="82"/>
        <v>3</v>
      </c>
      <c r="O103" s="8">
        <f t="shared" si="83"/>
        <v>2.8</v>
      </c>
      <c r="P103" s="8">
        <f t="shared" si="84"/>
        <v>2.5</v>
      </c>
    </row>
    <row r="104" spans="2:16" x14ac:dyDescent="0.25">
      <c r="E104" s="6" t="s">
        <v>145</v>
      </c>
      <c r="F104" s="6" t="s">
        <v>146</v>
      </c>
      <c r="G104" s="6" t="s">
        <v>94</v>
      </c>
      <c r="H104" s="14">
        <f>VLOOKUP($F104,[1]PRODUTOS!$B:$E,2,0)</f>
        <v>1.07</v>
      </c>
      <c r="I104" s="7">
        <f>VLOOKUP($F104,[1]PRODUTOS!$B:$E,3,0)</f>
        <v>2.7</v>
      </c>
      <c r="J104" s="8"/>
      <c r="K104" s="8">
        <f t="shared" si="79"/>
        <v>2.9</v>
      </c>
      <c r="L104" s="8">
        <f t="shared" si="80"/>
        <v>2.7</v>
      </c>
      <c r="M104" s="8">
        <f t="shared" si="81"/>
        <v>2.5</v>
      </c>
      <c r="N104" s="8">
        <f t="shared" si="82"/>
        <v>2.2999999999999998</v>
      </c>
      <c r="O104" s="8">
        <f t="shared" si="83"/>
        <v>2.1</v>
      </c>
      <c r="P104" s="8">
        <f t="shared" si="84"/>
        <v>1.9000000000000001</v>
      </c>
    </row>
    <row r="105" spans="2:16" x14ac:dyDescent="0.25">
      <c r="E105" s="6" t="s">
        <v>147</v>
      </c>
      <c r="F105" s="6" t="s">
        <v>148</v>
      </c>
      <c r="G105" s="6" t="s">
        <v>94</v>
      </c>
      <c r="H105" s="14">
        <f>VLOOKUP($F105,[1]PRODUTOS!$B:$E,2,0)</f>
        <v>0</v>
      </c>
      <c r="I105" s="7">
        <f>VLOOKUP($F105,[1]PRODUTOS!$B:$E,3,0)</f>
        <v>0</v>
      </c>
      <c r="J105" s="8"/>
      <c r="K105" s="8">
        <f t="shared" si="79"/>
        <v>0</v>
      </c>
      <c r="L105" s="8">
        <f t="shared" si="80"/>
        <v>0</v>
      </c>
      <c r="M105" s="8">
        <f t="shared" si="81"/>
        <v>0</v>
      </c>
      <c r="N105" s="8">
        <f t="shared" si="82"/>
        <v>0</v>
      </c>
      <c r="O105" s="8">
        <f t="shared" si="83"/>
        <v>0</v>
      </c>
      <c r="P105" s="8">
        <f t="shared" si="84"/>
        <v>0</v>
      </c>
    </row>
    <row r="106" spans="2:16" x14ac:dyDescent="0.25">
      <c r="E106" s="6" t="s">
        <v>149</v>
      </c>
      <c r="F106" s="6" t="s">
        <v>150</v>
      </c>
      <c r="G106" s="6" t="s">
        <v>94</v>
      </c>
      <c r="H106" s="14">
        <f>VLOOKUP($F106,[1]PRODUTOS!$B:$E,2,0)</f>
        <v>0.4</v>
      </c>
      <c r="I106" s="7">
        <f>VLOOKUP($F106,[1]PRODUTOS!$B:$E,3,0)</f>
        <v>1.6</v>
      </c>
      <c r="J106" s="8"/>
      <c r="K106" s="8">
        <f t="shared" si="79"/>
        <v>1.1000000000000001</v>
      </c>
      <c r="L106" s="8">
        <f t="shared" si="80"/>
        <v>1</v>
      </c>
      <c r="M106" s="8">
        <f t="shared" si="81"/>
        <v>0.9</v>
      </c>
      <c r="N106" s="8">
        <f t="shared" si="82"/>
        <v>0.8</v>
      </c>
      <c r="O106" s="8">
        <f t="shared" si="83"/>
        <v>0.8</v>
      </c>
      <c r="P106" s="8">
        <f t="shared" si="84"/>
        <v>0.7</v>
      </c>
    </row>
    <row r="107" spans="2:16" x14ac:dyDescent="0.25">
      <c r="E107" s="6" t="s">
        <v>151</v>
      </c>
      <c r="F107" s="6" t="s">
        <v>152</v>
      </c>
      <c r="G107" s="6" t="s">
        <v>94</v>
      </c>
      <c r="H107" s="14">
        <f>VLOOKUP($F107,[1]PRODUTOS!$B:$E,2,0)</f>
        <v>0.39</v>
      </c>
      <c r="I107" s="7">
        <f>VLOOKUP($F107,[1]PRODUTOS!$B:$E,3,0)</f>
        <v>1.3</v>
      </c>
      <c r="J107" s="8"/>
      <c r="K107" s="8">
        <f t="shared" si="79"/>
        <v>1.1000000000000001</v>
      </c>
      <c r="L107" s="8">
        <f t="shared" si="80"/>
        <v>1</v>
      </c>
      <c r="M107" s="8">
        <f t="shared" si="81"/>
        <v>0.9</v>
      </c>
      <c r="N107" s="8">
        <f t="shared" si="82"/>
        <v>0.8</v>
      </c>
      <c r="O107" s="8">
        <f t="shared" si="83"/>
        <v>0.8</v>
      </c>
      <c r="P107" s="8">
        <f t="shared" si="84"/>
        <v>0.7</v>
      </c>
    </row>
    <row r="108" spans="2:16" x14ac:dyDescent="0.25">
      <c r="E108" s="6" t="s">
        <v>153</v>
      </c>
      <c r="F108" s="6" t="s">
        <v>154</v>
      </c>
      <c r="G108" s="6" t="s">
        <v>94</v>
      </c>
      <c r="H108" s="14">
        <f>VLOOKUP($F108,[1]PRODUTOS!$B:$E,2,0)</f>
        <v>0.4</v>
      </c>
      <c r="I108" s="7">
        <f>VLOOKUP($F108,[1]PRODUTOS!$B:$E,3,0)</f>
        <v>1.6</v>
      </c>
      <c r="J108" s="8"/>
      <c r="K108" s="8">
        <f t="shared" si="79"/>
        <v>1.1000000000000001</v>
      </c>
      <c r="L108" s="8">
        <f t="shared" si="80"/>
        <v>1</v>
      </c>
      <c r="M108" s="8">
        <f t="shared" si="81"/>
        <v>0.9</v>
      </c>
      <c r="N108" s="8">
        <f t="shared" si="82"/>
        <v>0.8</v>
      </c>
      <c r="O108" s="8">
        <f t="shared" si="83"/>
        <v>0.8</v>
      </c>
      <c r="P108" s="8">
        <f t="shared" si="84"/>
        <v>0.7</v>
      </c>
    </row>
    <row r="109" spans="2:16" x14ac:dyDescent="0.25">
      <c r="B109" s="18"/>
      <c r="C109" s="18"/>
      <c r="D109" s="18"/>
      <c r="E109" s="6" t="s">
        <v>155</v>
      </c>
      <c r="F109" s="6" t="s">
        <v>156</v>
      </c>
      <c r="G109" s="6" t="s">
        <v>94</v>
      </c>
      <c r="H109" s="14">
        <f>VLOOKUP($F109,[1]PRODUTOS!$B:$E,2,0)</f>
        <v>0.39</v>
      </c>
      <c r="I109" s="7">
        <f>VLOOKUP($F109,[1]PRODUTOS!$B:$E,3,0)</f>
        <v>1.3</v>
      </c>
      <c r="J109" s="8"/>
      <c r="K109" s="8">
        <f t="shared" si="79"/>
        <v>1.1000000000000001</v>
      </c>
      <c r="L109" s="8">
        <f t="shared" si="80"/>
        <v>1</v>
      </c>
      <c r="M109" s="8">
        <f t="shared" si="81"/>
        <v>0.9</v>
      </c>
      <c r="N109" s="8">
        <f t="shared" si="82"/>
        <v>0.8</v>
      </c>
      <c r="O109" s="8">
        <f t="shared" si="83"/>
        <v>0.8</v>
      </c>
      <c r="P109" s="8">
        <f t="shared" si="84"/>
        <v>0.7</v>
      </c>
    </row>
    <row r="110" spans="2:16" x14ac:dyDescent="0.25">
      <c r="B110" s="18"/>
      <c r="C110" s="18"/>
      <c r="D110" s="18"/>
      <c r="E110" s="6"/>
      <c r="F110" s="6"/>
      <c r="G110" s="6"/>
      <c r="H110" s="14"/>
      <c r="I110" s="7"/>
      <c r="J110" s="8"/>
      <c r="K110" s="8"/>
      <c r="L110" s="8"/>
      <c r="M110" s="8"/>
      <c r="N110" s="8"/>
      <c r="O110" s="8"/>
      <c r="P110" s="8"/>
    </row>
    <row r="111" spans="2:16" x14ac:dyDescent="0.25">
      <c r="B111" s="18"/>
      <c r="C111" s="18"/>
      <c r="D111" s="18"/>
      <c r="E111" s="6"/>
      <c r="F111" s="6"/>
      <c r="G111" s="6"/>
      <c r="H111" s="14"/>
      <c r="I111" s="7"/>
      <c r="J111" s="8"/>
      <c r="K111" s="8"/>
      <c r="L111" s="8"/>
      <c r="M111" s="8"/>
      <c r="N111" s="8"/>
      <c r="O111" s="8"/>
      <c r="P111" s="8"/>
    </row>
    <row r="112" spans="2:16" x14ac:dyDescent="0.25">
      <c r="B112" s="18"/>
      <c r="C112" s="18"/>
      <c r="D112" s="18"/>
      <c r="E112" s="6"/>
      <c r="F112" s="6"/>
      <c r="G112" s="6"/>
      <c r="H112" s="14"/>
      <c r="I112" s="7"/>
      <c r="J112" s="8"/>
      <c r="K112" s="8"/>
      <c r="L112" s="8"/>
      <c r="M112" s="8"/>
      <c r="N112" s="8"/>
      <c r="O112" s="8"/>
      <c r="P112" s="8"/>
    </row>
    <row r="113" spans="2:16" x14ac:dyDescent="0.25">
      <c r="B113" s="18"/>
      <c r="C113" s="18"/>
      <c r="D113" s="18"/>
      <c r="E113" s="15"/>
      <c r="F113" s="15"/>
      <c r="G113" s="15"/>
      <c r="H113" s="16"/>
      <c r="I113" s="17"/>
      <c r="J113" s="17"/>
      <c r="K113" s="17"/>
      <c r="L113" s="17"/>
      <c r="M113" s="17"/>
      <c r="N113" s="17"/>
      <c r="O113" s="17"/>
      <c r="P113" s="17"/>
    </row>
    <row r="114" spans="2:16" x14ac:dyDescent="0.25">
      <c r="B114" s="18"/>
      <c r="C114" s="18"/>
      <c r="D114" s="18"/>
      <c r="E114" s="15"/>
      <c r="F114" s="15"/>
      <c r="G114" s="15"/>
      <c r="H114" s="16"/>
      <c r="I114" s="17"/>
      <c r="J114" s="17"/>
      <c r="K114" s="17"/>
      <c r="L114" s="17"/>
      <c r="M114" s="17"/>
      <c r="N114" s="17"/>
      <c r="O114" s="17"/>
      <c r="P114" s="17"/>
    </row>
    <row r="115" spans="2:16" x14ac:dyDescent="0.25">
      <c r="B115" s="18"/>
      <c r="C115" s="18"/>
      <c r="D115" s="18"/>
      <c r="E115" s="3" t="s">
        <v>8</v>
      </c>
      <c r="F115" s="3" t="s">
        <v>9</v>
      </c>
      <c r="G115" s="3"/>
      <c r="H115" s="14"/>
      <c r="I115" s="4" t="s">
        <v>11</v>
      </c>
      <c r="J115" s="13" t="s">
        <v>17</v>
      </c>
      <c r="K115" s="13" t="s">
        <v>16</v>
      </c>
      <c r="L115" s="13" t="s">
        <v>15</v>
      </c>
      <c r="M115" s="13" t="s">
        <v>14</v>
      </c>
      <c r="N115" s="13" t="s">
        <v>259</v>
      </c>
      <c r="O115" s="13" t="s">
        <v>13</v>
      </c>
      <c r="P115" s="13" t="s">
        <v>12</v>
      </c>
    </row>
    <row r="116" spans="2:16" x14ac:dyDescent="0.25">
      <c r="B116" s="18"/>
      <c r="C116" s="18"/>
      <c r="D116" s="18"/>
      <c r="E116" s="6" t="s">
        <v>157</v>
      </c>
      <c r="F116" s="6" t="s">
        <v>158</v>
      </c>
      <c r="G116" s="6" t="s">
        <v>159</v>
      </c>
      <c r="H116" s="14">
        <f>VLOOKUP($F116,[1]PRODUTOS!$B:$E,2,0)</f>
        <v>0.29799999999999999</v>
      </c>
      <c r="I116" s="7">
        <f>VLOOKUP($F116,[1]PRODUTOS!$B:$E,3,0)</f>
        <v>0.8</v>
      </c>
      <c r="J116" s="8"/>
      <c r="K116" s="8"/>
      <c r="L116" s="8"/>
      <c r="M116" s="8">
        <f>ROUND($P116*1.15,1)</f>
        <v>0.8</v>
      </c>
      <c r="N116" s="8">
        <f>ROUND($P116*1.1,1)</f>
        <v>0.8</v>
      </c>
      <c r="O116" s="8">
        <f>ROUND($P116*1.05,1)</f>
        <v>0.7</v>
      </c>
      <c r="P116" s="8">
        <f>ROUNDUP($H116*2.2,1)</f>
        <v>0.7</v>
      </c>
    </row>
    <row r="117" spans="2:16" x14ac:dyDescent="0.25">
      <c r="B117" s="18"/>
      <c r="C117" s="18"/>
      <c r="D117" s="18"/>
      <c r="E117" s="6" t="s">
        <v>160</v>
      </c>
      <c r="F117" s="6" t="s">
        <v>161</v>
      </c>
      <c r="G117" s="6" t="s">
        <v>159</v>
      </c>
      <c r="H117" s="14">
        <f>VLOOKUP($F117,[1]PRODUTOS!$B:$E,2,0)</f>
        <v>0.36</v>
      </c>
      <c r="I117" s="7">
        <f>VLOOKUP($F117,[1]PRODUTOS!$B:$E,3,0)</f>
        <v>0.9</v>
      </c>
      <c r="J117" s="8"/>
      <c r="K117" s="8"/>
      <c r="L117" s="8"/>
      <c r="M117" s="8">
        <f t="shared" ref="M117:M129" si="85">ROUND($P117*1.15,1)</f>
        <v>0.9</v>
      </c>
      <c r="N117" s="8">
        <f t="shared" ref="N117:N129" si="86">ROUND($P117*1.1,1)</f>
        <v>0.9</v>
      </c>
      <c r="O117" s="8">
        <f t="shared" ref="O117:O129" si="87">ROUND($P117*1.05,1)</f>
        <v>0.8</v>
      </c>
      <c r="P117" s="8">
        <f t="shared" ref="P117:P129" si="88">ROUNDUP($H117*2.2,1)</f>
        <v>0.79999999999999993</v>
      </c>
    </row>
    <row r="118" spans="2:16" x14ac:dyDescent="0.25">
      <c r="B118" s="18"/>
      <c r="C118" s="18"/>
      <c r="D118" s="18"/>
      <c r="E118" s="6" t="s">
        <v>162</v>
      </c>
      <c r="F118" s="6" t="s">
        <v>163</v>
      </c>
      <c r="G118" s="6" t="s">
        <v>159</v>
      </c>
      <c r="H118" s="14">
        <f>VLOOKUP($F118,[1]PRODUTOS!$B:$E,2,0)</f>
        <v>0.46</v>
      </c>
      <c r="I118" s="7">
        <f>VLOOKUP($F118,[1]PRODUTOS!$B:$E,3,0)</f>
        <v>1.1000000000000001</v>
      </c>
      <c r="J118" s="8"/>
      <c r="K118" s="8"/>
      <c r="L118" s="8"/>
      <c r="M118" s="8">
        <f t="shared" si="85"/>
        <v>1.3</v>
      </c>
      <c r="N118" s="8">
        <f t="shared" si="86"/>
        <v>1.2</v>
      </c>
      <c r="O118" s="8">
        <f t="shared" si="87"/>
        <v>1.2</v>
      </c>
      <c r="P118" s="8">
        <f t="shared" si="88"/>
        <v>1.1000000000000001</v>
      </c>
    </row>
    <row r="119" spans="2:16" x14ac:dyDescent="0.25">
      <c r="B119" s="18"/>
      <c r="C119" s="18"/>
      <c r="D119" s="18"/>
      <c r="E119" s="6" t="s">
        <v>164</v>
      </c>
      <c r="F119" s="6" t="s">
        <v>165</v>
      </c>
      <c r="G119" s="6" t="s">
        <v>159</v>
      </c>
      <c r="H119" s="14">
        <f>VLOOKUP($F119,[1]PRODUTOS!$B:$E,2,0)</f>
        <v>0.55000000000000004</v>
      </c>
      <c r="I119" s="7">
        <f>VLOOKUP($F119,[1]PRODUTOS!$B:$E,3,0)</f>
        <v>1.3</v>
      </c>
      <c r="J119" s="8"/>
      <c r="K119" s="8"/>
      <c r="L119" s="8"/>
      <c r="M119" s="8">
        <f t="shared" si="85"/>
        <v>1.5</v>
      </c>
      <c r="N119" s="8">
        <f t="shared" si="86"/>
        <v>1.4</v>
      </c>
      <c r="O119" s="8">
        <f t="shared" si="87"/>
        <v>1.4</v>
      </c>
      <c r="P119" s="8">
        <f t="shared" si="88"/>
        <v>1.3</v>
      </c>
    </row>
    <row r="120" spans="2:16" x14ac:dyDescent="0.25">
      <c r="B120" s="18"/>
      <c r="C120" s="18"/>
      <c r="D120" s="18"/>
      <c r="E120" s="6" t="s">
        <v>166</v>
      </c>
      <c r="F120" s="6" t="s">
        <v>167</v>
      </c>
      <c r="G120" s="6" t="s">
        <v>159</v>
      </c>
      <c r="H120" s="14">
        <f>VLOOKUP($F120,[1]PRODUTOS!$B:$E,2,0)</f>
        <v>0.69</v>
      </c>
      <c r="I120" s="7">
        <f>VLOOKUP($F120,[1]PRODUTOS!$B:$E,3,0)</f>
        <v>1.7</v>
      </c>
      <c r="J120" s="8"/>
      <c r="K120" s="8"/>
      <c r="L120" s="8"/>
      <c r="M120" s="8">
        <f t="shared" si="85"/>
        <v>1.8</v>
      </c>
      <c r="N120" s="8">
        <f t="shared" si="86"/>
        <v>1.8</v>
      </c>
      <c r="O120" s="8">
        <f t="shared" si="87"/>
        <v>1.7</v>
      </c>
      <c r="P120" s="8">
        <f t="shared" si="88"/>
        <v>1.6</v>
      </c>
    </row>
    <row r="121" spans="2:16" x14ac:dyDescent="0.25">
      <c r="B121" s="18"/>
      <c r="C121" s="18"/>
      <c r="D121" s="18"/>
      <c r="E121" s="6" t="s">
        <v>168</v>
      </c>
      <c r="F121" s="6" t="s">
        <v>169</v>
      </c>
      <c r="G121" s="6" t="s">
        <v>159</v>
      </c>
      <c r="H121" s="14">
        <f>VLOOKUP($F121,[1]PRODUTOS!$B:$E,2,0)</f>
        <v>0.87</v>
      </c>
      <c r="I121" s="7">
        <f>VLOOKUP($F121,[1]PRODUTOS!$B:$E,3,0)</f>
        <v>2.1</v>
      </c>
      <c r="J121" s="8"/>
      <c r="K121" s="8"/>
      <c r="L121" s="8"/>
      <c r="M121" s="8">
        <f t="shared" si="85"/>
        <v>2.2999999999999998</v>
      </c>
      <c r="N121" s="8">
        <f t="shared" si="86"/>
        <v>2.2000000000000002</v>
      </c>
      <c r="O121" s="8">
        <f t="shared" si="87"/>
        <v>2.1</v>
      </c>
      <c r="P121" s="8">
        <f t="shared" si="88"/>
        <v>2</v>
      </c>
    </row>
    <row r="122" spans="2:16" x14ac:dyDescent="0.25">
      <c r="B122" s="18"/>
      <c r="C122" s="18"/>
      <c r="D122" s="18"/>
      <c r="E122" s="6" t="s">
        <v>170</v>
      </c>
      <c r="F122" s="6" t="s">
        <v>171</v>
      </c>
      <c r="G122" s="6" t="s">
        <v>159</v>
      </c>
      <c r="H122" s="14">
        <f>VLOOKUP($F122,[1]PRODUTOS!$B:$E,2,0)</f>
        <v>1.21</v>
      </c>
      <c r="I122" s="7">
        <f>VLOOKUP($F122,[1]PRODUTOS!$B:$E,3,0)</f>
        <v>2.9</v>
      </c>
      <c r="J122" s="8"/>
      <c r="K122" s="8"/>
      <c r="L122" s="8"/>
      <c r="M122" s="8">
        <f t="shared" si="85"/>
        <v>3.1</v>
      </c>
      <c r="N122" s="8">
        <f t="shared" si="86"/>
        <v>3</v>
      </c>
      <c r="O122" s="8">
        <f t="shared" si="87"/>
        <v>2.8</v>
      </c>
      <c r="P122" s="8">
        <f t="shared" si="88"/>
        <v>2.7</v>
      </c>
    </row>
    <row r="123" spans="2:16" x14ac:dyDescent="0.25">
      <c r="B123" s="5"/>
      <c r="C123" s="5"/>
      <c r="D123" s="5"/>
      <c r="E123" s="6" t="s">
        <v>172</v>
      </c>
      <c r="F123" s="6" t="s">
        <v>173</v>
      </c>
      <c r="G123" s="6" t="s">
        <v>159</v>
      </c>
      <c r="H123" s="14">
        <f>VLOOKUP($F123,[1]PRODUTOS!$B:$E,2,0)</f>
        <v>0.29799999999999999</v>
      </c>
      <c r="I123" s="7">
        <f>VLOOKUP($F123,[1]PRODUTOS!$B:$E,3,0)</f>
        <v>0.8</v>
      </c>
      <c r="J123" s="8"/>
      <c r="K123" s="8"/>
      <c r="L123" s="8"/>
      <c r="M123" s="8">
        <f t="shared" si="85"/>
        <v>0.8</v>
      </c>
      <c r="N123" s="8">
        <f t="shared" si="86"/>
        <v>0.8</v>
      </c>
      <c r="O123" s="8">
        <f t="shared" si="87"/>
        <v>0.7</v>
      </c>
      <c r="P123" s="8">
        <f t="shared" si="88"/>
        <v>0.7</v>
      </c>
    </row>
    <row r="124" spans="2:16" x14ac:dyDescent="0.25">
      <c r="E124" s="6" t="s">
        <v>174</v>
      </c>
      <c r="F124" s="6" t="s">
        <v>175</v>
      </c>
      <c r="G124" s="6" t="s">
        <v>159</v>
      </c>
      <c r="H124" s="14">
        <f>VLOOKUP($F124,[1]PRODUTOS!$B:$E,2,0)</f>
        <v>0.36</v>
      </c>
      <c r="I124" s="7">
        <f>VLOOKUP($F124,[1]PRODUTOS!$B:$E,3,0)</f>
        <v>0.9</v>
      </c>
      <c r="J124" s="8"/>
      <c r="K124" s="8"/>
      <c r="L124" s="8"/>
      <c r="M124" s="8">
        <f t="shared" si="85"/>
        <v>0.9</v>
      </c>
      <c r="N124" s="8">
        <f t="shared" si="86"/>
        <v>0.9</v>
      </c>
      <c r="O124" s="8">
        <f t="shared" si="87"/>
        <v>0.8</v>
      </c>
      <c r="P124" s="8">
        <f t="shared" si="88"/>
        <v>0.79999999999999993</v>
      </c>
    </row>
    <row r="125" spans="2:16" x14ac:dyDescent="0.25">
      <c r="B125" s="18"/>
      <c r="C125" s="18"/>
      <c r="D125" s="18"/>
      <c r="E125" s="6" t="s">
        <v>176</v>
      </c>
      <c r="F125" s="6" t="s">
        <v>177</v>
      </c>
      <c r="G125" s="6" t="s">
        <v>159</v>
      </c>
      <c r="H125" s="14">
        <f>VLOOKUP($F125,[1]PRODUTOS!$B:$E,2,0)</f>
        <v>0.46</v>
      </c>
      <c r="I125" s="7">
        <f>VLOOKUP($F125,[1]PRODUTOS!$B:$E,3,0)</f>
        <v>1.1000000000000001</v>
      </c>
      <c r="J125" s="8"/>
      <c r="K125" s="8"/>
      <c r="L125" s="8"/>
      <c r="M125" s="8">
        <f t="shared" si="85"/>
        <v>1.3</v>
      </c>
      <c r="N125" s="8">
        <f t="shared" si="86"/>
        <v>1.2</v>
      </c>
      <c r="O125" s="8">
        <f t="shared" si="87"/>
        <v>1.2</v>
      </c>
      <c r="P125" s="8">
        <f t="shared" si="88"/>
        <v>1.1000000000000001</v>
      </c>
    </row>
    <row r="126" spans="2:16" x14ac:dyDescent="0.25">
      <c r="B126" s="18"/>
      <c r="C126" s="18"/>
      <c r="D126" s="18"/>
      <c r="E126" s="6" t="s">
        <v>178</v>
      </c>
      <c r="F126" s="6" t="s">
        <v>179</v>
      </c>
      <c r="G126" s="6" t="s">
        <v>159</v>
      </c>
      <c r="H126" s="14">
        <f>VLOOKUP($F126,[1]PRODUTOS!$B:$E,2,0)</f>
        <v>0.55000000000000004</v>
      </c>
      <c r="I126" s="7">
        <f>VLOOKUP($F126,[1]PRODUTOS!$B:$E,3,0)</f>
        <v>1.3</v>
      </c>
      <c r="J126" s="8"/>
      <c r="K126" s="8"/>
      <c r="L126" s="8"/>
      <c r="M126" s="8">
        <f t="shared" si="85"/>
        <v>1.5</v>
      </c>
      <c r="N126" s="8">
        <f t="shared" si="86"/>
        <v>1.4</v>
      </c>
      <c r="O126" s="8">
        <f t="shared" si="87"/>
        <v>1.4</v>
      </c>
      <c r="P126" s="8">
        <f t="shared" si="88"/>
        <v>1.3</v>
      </c>
    </row>
    <row r="127" spans="2:16" x14ac:dyDescent="0.25">
      <c r="B127" s="18"/>
      <c r="C127" s="18"/>
      <c r="D127" s="18"/>
      <c r="E127" s="6" t="s">
        <v>180</v>
      </c>
      <c r="F127" s="6" t="s">
        <v>181</v>
      </c>
      <c r="G127" s="6" t="s">
        <v>159</v>
      </c>
      <c r="H127" s="14">
        <f>VLOOKUP($F127,[1]PRODUTOS!$B:$E,2,0)</f>
        <v>0.69</v>
      </c>
      <c r="I127" s="7">
        <f>VLOOKUP($F127,[1]PRODUTOS!$B:$E,3,0)</f>
        <v>1.7</v>
      </c>
      <c r="J127" s="8"/>
      <c r="K127" s="8"/>
      <c r="L127" s="8"/>
      <c r="M127" s="8">
        <f t="shared" si="85"/>
        <v>1.8</v>
      </c>
      <c r="N127" s="8">
        <f t="shared" si="86"/>
        <v>1.8</v>
      </c>
      <c r="O127" s="8">
        <f t="shared" si="87"/>
        <v>1.7</v>
      </c>
      <c r="P127" s="8">
        <f t="shared" si="88"/>
        <v>1.6</v>
      </c>
    </row>
    <row r="128" spans="2:16" x14ac:dyDescent="0.25">
      <c r="B128" s="18"/>
      <c r="C128" s="18"/>
      <c r="D128" s="18"/>
      <c r="E128" s="6" t="s">
        <v>182</v>
      </c>
      <c r="F128" s="6" t="s">
        <v>183</v>
      </c>
      <c r="G128" s="6" t="s">
        <v>159</v>
      </c>
      <c r="H128" s="14">
        <f>VLOOKUP($F128,[1]PRODUTOS!$B:$E,2,0)</f>
        <v>0.87</v>
      </c>
      <c r="I128" s="7">
        <f>VLOOKUP($F128,[1]PRODUTOS!$B:$E,3,0)</f>
        <v>2.1</v>
      </c>
      <c r="J128" s="8"/>
      <c r="K128" s="8"/>
      <c r="L128" s="8"/>
      <c r="M128" s="8">
        <f t="shared" si="85"/>
        <v>2.2999999999999998</v>
      </c>
      <c r="N128" s="8">
        <f t="shared" si="86"/>
        <v>2.2000000000000002</v>
      </c>
      <c r="O128" s="8">
        <f t="shared" si="87"/>
        <v>2.1</v>
      </c>
      <c r="P128" s="8">
        <f t="shared" si="88"/>
        <v>2</v>
      </c>
    </row>
    <row r="129" spans="2:16" x14ac:dyDescent="0.25">
      <c r="B129" s="18"/>
      <c r="C129" s="18"/>
      <c r="D129" s="18"/>
      <c r="E129" s="6" t="s">
        <v>184</v>
      </c>
      <c r="F129" s="6" t="s">
        <v>185</v>
      </c>
      <c r="G129" s="6" t="s">
        <v>159</v>
      </c>
      <c r="H129" s="14">
        <f>VLOOKUP($F129,[1]PRODUTOS!$B:$E,2,0)</f>
        <v>1.21</v>
      </c>
      <c r="I129" s="7">
        <f>VLOOKUP($F129,[1]PRODUTOS!$B:$E,3,0)</f>
        <v>2.9</v>
      </c>
      <c r="J129" s="8"/>
      <c r="K129" s="8"/>
      <c r="L129" s="8"/>
      <c r="M129" s="8">
        <f t="shared" si="85"/>
        <v>3.1</v>
      </c>
      <c r="N129" s="8">
        <f t="shared" si="86"/>
        <v>3</v>
      </c>
      <c r="O129" s="8">
        <f t="shared" si="87"/>
        <v>2.8</v>
      </c>
      <c r="P129" s="8">
        <f t="shared" si="88"/>
        <v>2.7</v>
      </c>
    </row>
    <row r="130" spans="2:16" x14ac:dyDescent="0.25">
      <c r="B130" s="18"/>
      <c r="C130" s="18"/>
      <c r="D130" s="18"/>
      <c r="E130" s="6"/>
      <c r="F130" s="6"/>
      <c r="G130" s="6"/>
      <c r="H130" s="14"/>
      <c r="I130" s="7"/>
      <c r="J130" s="8"/>
      <c r="K130" s="8"/>
      <c r="L130" s="8"/>
      <c r="M130" s="8"/>
      <c r="N130" s="8"/>
      <c r="O130" s="8"/>
      <c r="P130" s="8"/>
    </row>
    <row r="131" spans="2:16" x14ac:dyDescent="0.25">
      <c r="B131" s="18"/>
      <c r="C131" s="18"/>
      <c r="D131" s="18"/>
      <c r="E131" s="3" t="s">
        <v>8</v>
      </c>
      <c r="F131" s="3" t="s">
        <v>9</v>
      </c>
      <c r="G131" s="3" t="s">
        <v>10</v>
      </c>
      <c r="H131" s="14"/>
      <c r="I131" s="4" t="s">
        <v>11</v>
      </c>
      <c r="J131" s="13" t="s">
        <v>17</v>
      </c>
      <c r="K131" s="13" t="s">
        <v>16</v>
      </c>
      <c r="L131" s="13" t="s">
        <v>15</v>
      </c>
      <c r="M131" s="13" t="s">
        <v>14</v>
      </c>
      <c r="N131" s="13" t="s">
        <v>259</v>
      </c>
      <c r="O131" s="13" t="s">
        <v>13</v>
      </c>
      <c r="P131" s="13" t="s">
        <v>12</v>
      </c>
    </row>
    <row r="132" spans="2:16" x14ac:dyDescent="0.25">
      <c r="B132" s="18"/>
      <c r="C132" s="18"/>
      <c r="D132" s="18"/>
      <c r="E132" s="6" t="s">
        <v>186</v>
      </c>
      <c r="F132" s="6" t="s">
        <v>187</v>
      </c>
      <c r="G132" s="6" t="s">
        <v>159</v>
      </c>
      <c r="H132" s="14">
        <f>VLOOKUP($F132,[1]PRODUTOS!$B:$E,2,0)</f>
        <v>0.42</v>
      </c>
      <c r="I132" s="7">
        <f>VLOOKUP($F132,[1]PRODUTOS!$B:$E,3,0)</f>
        <v>1</v>
      </c>
      <c r="J132" s="8"/>
      <c r="K132" s="8"/>
      <c r="L132" s="8"/>
      <c r="M132" s="8">
        <f t="shared" ref="M132:M153" si="89">ROUND($P132*1.3,1)</f>
        <v>1.2</v>
      </c>
      <c r="N132" s="8">
        <f t="shared" ref="N132:N153" si="90">ROUND($P132*1.2,1)</f>
        <v>1.1000000000000001</v>
      </c>
      <c r="O132" s="8">
        <f t="shared" ref="O132:O153" si="91">ROUND($P132*1.1,1)</f>
        <v>1</v>
      </c>
      <c r="P132" s="8">
        <f>ROUNDUP($H132*2,1)</f>
        <v>0.9</v>
      </c>
    </row>
    <row r="133" spans="2:16" x14ac:dyDescent="0.25">
      <c r="B133" s="18"/>
      <c r="C133" s="18"/>
      <c r="D133" s="18"/>
      <c r="E133" s="6" t="s">
        <v>188</v>
      </c>
      <c r="F133" s="6" t="s">
        <v>189</v>
      </c>
      <c r="G133" s="6" t="s">
        <v>159</v>
      </c>
      <c r="H133" s="14">
        <f>VLOOKUP($F133,[1]PRODUTOS!$B:$E,2,0)</f>
        <v>0.55000000000000004</v>
      </c>
      <c r="I133" s="7">
        <f>VLOOKUP($F133,[1]PRODUTOS!$B:$E,3,0)</f>
        <v>1.3</v>
      </c>
      <c r="J133" s="8"/>
      <c r="K133" s="8"/>
      <c r="L133" s="8"/>
      <c r="M133" s="8">
        <f t="shared" si="89"/>
        <v>1.4</v>
      </c>
      <c r="N133" s="8">
        <f t="shared" si="90"/>
        <v>1.3</v>
      </c>
      <c r="O133" s="8">
        <f t="shared" si="91"/>
        <v>1.2</v>
      </c>
      <c r="P133" s="8">
        <f t="shared" ref="P133:P153" si="92">ROUNDUP($H133*2,1)</f>
        <v>1.1000000000000001</v>
      </c>
    </row>
    <row r="134" spans="2:16" x14ac:dyDescent="0.25">
      <c r="B134" s="18"/>
      <c r="C134" s="18"/>
      <c r="D134" s="18"/>
      <c r="E134" s="6" t="s">
        <v>190</v>
      </c>
      <c r="F134" s="6" t="s">
        <v>191</v>
      </c>
      <c r="G134" s="6" t="s">
        <v>159</v>
      </c>
      <c r="H134" s="14">
        <f>VLOOKUP($F134,[1]PRODUTOS!$B:$E,2,0)</f>
        <v>0.76</v>
      </c>
      <c r="I134" s="7">
        <f>VLOOKUP($F134,[1]PRODUTOS!$B:$E,3,0)</f>
        <v>1.6</v>
      </c>
      <c r="J134" s="8"/>
      <c r="K134" s="8"/>
      <c r="L134" s="8"/>
      <c r="M134" s="8">
        <f t="shared" si="89"/>
        <v>2.1</v>
      </c>
      <c r="N134" s="8">
        <f t="shared" si="90"/>
        <v>1.9</v>
      </c>
      <c r="O134" s="8">
        <f t="shared" si="91"/>
        <v>1.8</v>
      </c>
      <c r="P134" s="8">
        <f t="shared" si="92"/>
        <v>1.6</v>
      </c>
    </row>
    <row r="135" spans="2:16" x14ac:dyDescent="0.25">
      <c r="B135" s="18"/>
      <c r="C135" s="18"/>
      <c r="D135" s="18"/>
      <c r="E135" s="6" t="s">
        <v>192</v>
      </c>
      <c r="F135" s="6" t="s">
        <v>193</v>
      </c>
      <c r="G135" s="6" t="s">
        <v>159</v>
      </c>
      <c r="H135" s="14">
        <f>VLOOKUP($F135,[1]PRODUTOS!$B:$E,2,0)</f>
        <v>0.7</v>
      </c>
      <c r="I135" s="7">
        <f>VLOOKUP($F135,[1]PRODUTOS!$B:$E,3,0)</f>
        <v>1.7</v>
      </c>
      <c r="J135" s="8"/>
      <c r="K135" s="8"/>
      <c r="L135" s="8"/>
      <c r="M135" s="8">
        <f t="shared" si="89"/>
        <v>1.8</v>
      </c>
      <c r="N135" s="8">
        <f t="shared" si="90"/>
        <v>1.7</v>
      </c>
      <c r="O135" s="8">
        <f t="shared" si="91"/>
        <v>1.5</v>
      </c>
      <c r="P135" s="8">
        <f t="shared" si="92"/>
        <v>1.4</v>
      </c>
    </row>
    <row r="136" spans="2:16" x14ac:dyDescent="0.25">
      <c r="B136" s="18"/>
      <c r="C136" s="18"/>
      <c r="D136" s="18"/>
      <c r="E136" s="6" t="s">
        <v>194</v>
      </c>
      <c r="F136" s="6" t="s">
        <v>195</v>
      </c>
      <c r="G136" s="6" t="s">
        <v>159</v>
      </c>
      <c r="H136" s="14">
        <f>VLOOKUP($F136,[1]PRODUTOS!$B:$E,2,0)</f>
        <v>0.83</v>
      </c>
      <c r="I136" s="7">
        <f>VLOOKUP($F136,[1]PRODUTOS!$B:$E,3,0)</f>
        <v>1.9</v>
      </c>
      <c r="J136" s="8"/>
      <c r="K136" s="8"/>
      <c r="L136" s="8"/>
      <c r="M136" s="8">
        <f t="shared" si="89"/>
        <v>2.2000000000000002</v>
      </c>
      <c r="N136" s="8">
        <f t="shared" si="90"/>
        <v>2</v>
      </c>
      <c r="O136" s="8">
        <f t="shared" si="91"/>
        <v>1.9</v>
      </c>
      <c r="P136" s="8">
        <f t="shared" si="92"/>
        <v>1.7000000000000002</v>
      </c>
    </row>
    <row r="137" spans="2:16" x14ac:dyDescent="0.25">
      <c r="B137" s="18"/>
      <c r="C137" s="18"/>
      <c r="D137" s="18"/>
      <c r="E137" s="6" t="s">
        <v>196</v>
      </c>
      <c r="F137" s="6" t="s">
        <v>197</v>
      </c>
      <c r="G137" s="6" t="s">
        <v>159</v>
      </c>
      <c r="H137" s="14">
        <f>VLOOKUP($F137,[1]PRODUTOS!$B:$E,2,0)</f>
        <v>0.92</v>
      </c>
      <c r="I137" s="7">
        <f>VLOOKUP($F137,[1]PRODUTOS!$B:$E,3,0)</f>
        <v>2.2000000000000002</v>
      </c>
      <c r="J137" s="8"/>
      <c r="K137" s="8"/>
      <c r="L137" s="8"/>
      <c r="M137" s="8">
        <f t="shared" si="89"/>
        <v>2.5</v>
      </c>
      <c r="N137" s="8">
        <f t="shared" si="90"/>
        <v>2.2999999999999998</v>
      </c>
      <c r="O137" s="8">
        <f t="shared" si="91"/>
        <v>2.1</v>
      </c>
      <c r="P137" s="8">
        <f t="shared" si="92"/>
        <v>1.9000000000000001</v>
      </c>
    </row>
    <row r="138" spans="2:16" x14ac:dyDescent="0.25">
      <c r="B138" s="18"/>
      <c r="C138" s="18"/>
      <c r="D138" s="18"/>
      <c r="E138" s="6" t="s">
        <v>198</v>
      </c>
      <c r="F138" s="6" t="s">
        <v>199</v>
      </c>
      <c r="G138" s="6" t="s">
        <v>159</v>
      </c>
      <c r="H138" s="14">
        <f>VLOOKUP($F138,[1]PRODUTOS!$B:$E,2,0)</f>
        <v>0.78</v>
      </c>
      <c r="I138" s="7">
        <f>VLOOKUP($F138,[1]PRODUTOS!$B:$E,3,0)</f>
        <v>1.8</v>
      </c>
      <c r="J138" s="8"/>
      <c r="K138" s="8"/>
      <c r="L138" s="8"/>
      <c r="M138" s="8">
        <f t="shared" si="89"/>
        <v>2.1</v>
      </c>
      <c r="N138" s="8">
        <f t="shared" si="90"/>
        <v>1.9</v>
      </c>
      <c r="O138" s="8">
        <f t="shared" si="91"/>
        <v>1.8</v>
      </c>
      <c r="P138" s="8">
        <f t="shared" si="92"/>
        <v>1.6</v>
      </c>
    </row>
    <row r="139" spans="2:16" x14ac:dyDescent="0.25">
      <c r="B139" s="18"/>
      <c r="C139" s="18"/>
      <c r="D139" s="18"/>
      <c r="E139" s="6" t="s">
        <v>200</v>
      </c>
      <c r="F139" s="6" t="s">
        <v>201</v>
      </c>
      <c r="G139" s="6" t="s">
        <v>159</v>
      </c>
      <c r="H139" s="14">
        <f>VLOOKUP($F139,[1]PRODUTOS!$B:$E,2,0)</f>
        <v>0.87</v>
      </c>
      <c r="I139" s="7">
        <f>VLOOKUP($F139,[1]PRODUTOS!$B:$E,3,0)</f>
        <v>1.9</v>
      </c>
      <c r="J139" s="8"/>
      <c r="K139" s="8"/>
      <c r="L139" s="8"/>
      <c r="M139" s="8">
        <f t="shared" si="89"/>
        <v>2.2999999999999998</v>
      </c>
      <c r="N139" s="8">
        <f t="shared" si="90"/>
        <v>2.2000000000000002</v>
      </c>
      <c r="O139" s="8">
        <f t="shared" si="91"/>
        <v>2</v>
      </c>
      <c r="P139" s="8">
        <f t="shared" si="92"/>
        <v>1.8</v>
      </c>
    </row>
    <row r="140" spans="2:16" x14ac:dyDescent="0.25">
      <c r="B140" s="18"/>
      <c r="C140" s="18"/>
      <c r="D140" s="18"/>
      <c r="E140" s="6" t="s">
        <v>202</v>
      </c>
      <c r="F140" s="6" t="s">
        <v>203</v>
      </c>
      <c r="G140" s="6" t="s">
        <v>159</v>
      </c>
      <c r="H140" s="14">
        <f>VLOOKUP($F140,[1]PRODUTOS!$B:$E,2,0)</f>
        <v>1.03</v>
      </c>
      <c r="I140" s="7">
        <f>VLOOKUP($F140,[1]PRODUTOS!$B:$E,3,0)</f>
        <v>2.2999999999999998</v>
      </c>
      <c r="J140" s="8"/>
      <c r="K140" s="8"/>
      <c r="L140" s="8"/>
      <c r="M140" s="8">
        <f t="shared" si="89"/>
        <v>2.7</v>
      </c>
      <c r="N140" s="8">
        <f t="shared" si="90"/>
        <v>2.5</v>
      </c>
      <c r="O140" s="8">
        <f t="shared" si="91"/>
        <v>2.2999999999999998</v>
      </c>
      <c r="P140" s="8">
        <f t="shared" si="92"/>
        <v>2.1</v>
      </c>
    </row>
    <row r="141" spans="2:16" x14ac:dyDescent="0.25">
      <c r="B141" s="18"/>
      <c r="C141" s="18"/>
      <c r="D141" s="18"/>
      <c r="E141" s="6" t="s">
        <v>204</v>
      </c>
      <c r="F141" s="6" t="s">
        <v>205</v>
      </c>
      <c r="G141" s="6" t="s">
        <v>159</v>
      </c>
      <c r="H141" s="14">
        <f>VLOOKUP($F141,[1]PRODUTOS!$B:$E,2,0)</f>
        <v>1.1000000000000001</v>
      </c>
      <c r="I141" s="7">
        <f>VLOOKUP($F141,[1]PRODUTOS!$B:$E,3,0)</f>
        <v>2.8</v>
      </c>
      <c r="J141" s="8"/>
      <c r="K141" s="8"/>
      <c r="L141" s="8"/>
      <c r="M141" s="8">
        <f t="shared" si="89"/>
        <v>2.9</v>
      </c>
      <c r="N141" s="8">
        <f t="shared" si="90"/>
        <v>2.6</v>
      </c>
      <c r="O141" s="8">
        <f t="shared" si="91"/>
        <v>2.4</v>
      </c>
      <c r="P141" s="8">
        <f t="shared" si="92"/>
        <v>2.2000000000000002</v>
      </c>
    </row>
    <row r="142" spans="2:16" x14ac:dyDescent="0.25">
      <c r="B142" s="18"/>
      <c r="C142" s="18"/>
      <c r="D142" s="18"/>
      <c r="E142" s="6" t="s">
        <v>206</v>
      </c>
      <c r="F142" s="6" t="s">
        <v>207</v>
      </c>
      <c r="G142" s="6" t="s">
        <v>159</v>
      </c>
      <c r="H142" s="14">
        <f>VLOOKUP($F142,[1]PRODUTOS!$B:$E,2,0)</f>
        <v>1.33</v>
      </c>
      <c r="I142" s="7">
        <f>VLOOKUP($F142,[1]PRODUTOS!$B:$E,3,0)</f>
        <v>3</v>
      </c>
      <c r="J142" s="8"/>
      <c r="K142" s="8"/>
      <c r="L142" s="8"/>
      <c r="M142" s="8">
        <f t="shared" si="89"/>
        <v>3.5</v>
      </c>
      <c r="N142" s="8">
        <f t="shared" si="90"/>
        <v>3.2</v>
      </c>
      <c r="O142" s="8">
        <f t="shared" si="91"/>
        <v>3</v>
      </c>
      <c r="P142" s="8">
        <f t="shared" si="92"/>
        <v>2.7</v>
      </c>
    </row>
    <row r="143" spans="2:16" x14ac:dyDescent="0.25">
      <c r="B143" s="18"/>
      <c r="C143" s="18"/>
      <c r="D143" s="18"/>
      <c r="E143" s="6" t="s">
        <v>208</v>
      </c>
      <c r="F143" s="6" t="s">
        <v>209</v>
      </c>
      <c r="G143" s="6" t="s">
        <v>159</v>
      </c>
      <c r="H143" s="14">
        <f>VLOOKUP($F143,[1]PRODUTOS!$B:$E,2,0)</f>
        <v>1.7</v>
      </c>
      <c r="I143" s="7">
        <f>VLOOKUP($F143,[1]PRODUTOS!$B:$E,3,0)</f>
        <v>3.8</v>
      </c>
      <c r="J143" s="8"/>
      <c r="K143" s="8"/>
      <c r="L143" s="8"/>
      <c r="M143" s="8">
        <f t="shared" si="89"/>
        <v>4.4000000000000004</v>
      </c>
      <c r="N143" s="8">
        <f t="shared" si="90"/>
        <v>4.0999999999999996</v>
      </c>
      <c r="O143" s="8">
        <f t="shared" si="91"/>
        <v>3.7</v>
      </c>
      <c r="P143" s="8">
        <f t="shared" si="92"/>
        <v>3.4</v>
      </c>
    </row>
    <row r="144" spans="2:16" x14ac:dyDescent="0.25">
      <c r="B144" s="18"/>
      <c r="C144" s="18"/>
      <c r="D144" s="18"/>
      <c r="E144" s="6" t="s">
        <v>210</v>
      </c>
      <c r="F144" s="6" t="s">
        <v>211</v>
      </c>
      <c r="G144" s="6" t="s">
        <v>159</v>
      </c>
      <c r="H144" s="14">
        <f>VLOOKUP($F144,[1]PRODUTOS!$B:$E,2,0)</f>
        <v>3</v>
      </c>
      <c r="I144" s="7">
        <f>VLOOKUP($F144,[1]PRODUTOS!$B:$E,3,0)</f>
        <v>7.5</v>
      </c>
      <c r="J144" s="8"/>
      <c r="K144" s="8"/>
      <c r="L144" s="8"/>
      <c r="M144" s="8">
        <f t="shared" si="89"/>
        <v>7.8</v>
      </c>
      <c r="N144" s="8">
        <f t="shared" si="90"/>
        <v>7.2</v>
      </c>
      <c r="O144" s="8">
        <f t="shared" si="91"/>
        <v>6.6</v>
      </c>
      <c r="P144" s="8">
        <f t="shared" si="92"/>
        <v>6</v>
      </c>
    </row>
    <row r="145" spans="2:16" x14ac:dyDescent="0.25">
      <c r="B145" s="18"/>
      <c r="C145" s="18"/>
      <c r="D145" s="18"/>
      <c r="E145" s="6" t="s">
        <v>212</v>
      </c>
      <c r="F145" s="6" t="s">
        <v>213</v>
      </c>
      <c r="G145" s="6" t="s">
        <v>159</v>
      </c>
      <c r="H145" s="14">
        <f>VLOOKUP($F145,[1]PRODUTOS!$B:$E,2,0)</f>
        <v>0.52</v>
      </c>
      <c r="I145" s="7">
        <f>VLOOKUP($F145,[1]PRODUTOS!$B:$E,3,0)</f>
        <v>1.2</v>
      </c>
      <c r="J145" s="8"/>
      <c r="K145" s="8"/>
      <c r="L145" s="8"/>
      <c r="M145" s="8">
        <f t="shared" si="89"/>
        <v>1.4</v>
      </c>
      <c r="N145" s="8">
        <f t="shared" si="90"/>
        <v>1.3</v>
      </c>
      <c r="O145" s="8">
        <f t="shared" si="91"/>
        <v>1.2</v>
      </c>
      <c r="P145" s="8">
        <f t="shared" si="92"/>
        <v>1.1000000000000001</v>
      </c>
    </row>
    <row r="146" spans="2:16" x14ac:dyDescent="0.25">
      <c r="B146" s="18"/>
      <c r="C146" s="18"/>
      <c r="D146" s="18"/>
      <c r="E146" s="6" t="s">
        <v>214</v>
      </c>
      <c r="F146" s="6" t="s">
        <v>215</v>
      </c>
      <c r="G146" s="6" t="s">
        <v>159</v>
      </c>
      <c r="H146" s="14">
        <f>VLOOKUP($F146,[1]PRODUTOS!$B:$E,2,0)</f>
        <v>0.53800000000000003</v>
      </c>
      <c r="I146" s="7">
        <f>VLOOKUP($F146,[1]PRODUTOS!$B:$E,3,0)</f>
        <v>1.3</v>
      </c>
      <c r="J146" s="8"/>
      <c r="K146" s="8"/>
      <c r="L146" s="8"/>
      <c r="M146" s="8">
        <f t="shared" si="89"/>
        <v>1.4</v>
      </c>
      <c r="N146" s="8">
        <f t="shared" si="90"/>
        <v>1.3</v>
      </c>
      <c r="O146" s="8">
        <f t="shared" si="91"/>
        <v>1.2</v>
      </c>
      <c r="P146" s="8">
        <f t="shared" si="92"/>
        <v>1.1000000000000001</v>
      </c>
    </row>
    <row r="147" spans="2:16" x14ac:dyDescent="0.25">
      <c r="B147" s="5"/>
      <c r="C147" s="5"/>
      <c r="D147" s="5"/>
      <c r="E147" s="6" t="s">
        <v>216</v>
      </c>
      <c r="F147" s="6" t="s">
        <v>217</v>
      </c>
      <c r="G147" s="6" t="s">
        <v>159</v>
      </c>
      <c r="H147" s="14">
        <f>VLOOKUP($F147,[1]PRODUTOS!$B:$E,2,0)</f>
        <v>0.62</v>
      </c>
      <c r="I147" s="7">
        <f>VLOOKUP($F147,[1]PRODUTOS!$B:$E,3,0)</f>
        <v>1.4</v>
      </c>
      <c r="J147" s="8"/>
      <c r="K147" s="8"/>
      <c r="L147" s="8"/>
      <c r="M147" s="8">
        <f t="shared" si="89"/>
        <v>1.7</v>
      </c>
      <c r="N147" s="8">
        <f t="shared" si="90"/>
        <v>1.6</v>
      </c>
      <c r="O147" s="8">
        <f t="shared" si="91"/>
        <v>1.4</v>
      </c>
      <c r="P147" s="8">
        <f t="shared" si="92"/>
        <v>1.3</v>
      </c>
    </row>
    <row r="148" spans="2:16" x14ac:dyDescent="0.25">
      <c r="E148" s="6" t="s">
        <v>218</v>
      </c>
      <c r="F148" s="6" t="s">
        <v>219</v>
      </c>
      <c r="G148" s="6" t="s">
        <v>159</v>
      </c>
      <c r="H148" s="14">
        <f>VLOOKUP($F148,[1]PRODUTOS!$B:$E,2,0)</f>
        <v>0.74399999999999999</v>
      </c>
      <c r="I148" s="7">
        <f>VLOOKUP($F148,[1]PRODUTOS!$B:$E,3,0)</f>
        <v>1.8</v>
      </c>
      <c r="J148" s="8"/>
      <c r="K148" s="8"/>
      <c r="L148" s="8"/>
      <c r="M148" s="8">
        <f t="shared" si="89"/>
        <v>2</v>
      </c>
      <c r="N148" s="8">
        <f t="shared" si="90"/>
        <v>1.8</v>
      </c>
      <c r="O148" s="8">
        <f t="shared" si="91"/>
        <v>1.7</v>
      </c>
      <c r="P148" s="8">
        <f t="shared" si="92"/>
        <v>1.5</v>
      </c>
    </row>
    <row r="149" spans="2:16" x14ac:dyDescent="0.25">
      <c r="B149" s="18"/>
      <c r="C149" s="18"/>
      <c r="D149" s="18"/>
      <c r="E149" s="6" t="s">
        <v>220</v>
      </c>
      <c r="F149" s="6" t="s">
        <v>221</v>
      </c>
      <c r="G149" s="6" t="s">
        <v>159</v>
      </c>
      <c r="H149" s="14">
        <f>VLOOKUP($F149,[1]PRODUTOS!$B:$E,2,0)</f>
        <v>1</v>
      </c>
      <c r="I149" s="7">
        <f>VLOOKUP($F149,[1]PRODUTOS!$B:$E,3,0)</f>
        <v>3</v>
      </c>
      <c r="J149" s="8"/>
      <c r="K149" s="8"/>
      <c r="L149" s="8"/>
      <c r="M149" s="8">
        <f t="shared" si="89"/>
        <v>2.6</v>
      </c>
      <c r="N149" s="8">
        <f t="shared" si="90"/>
        <v>2.4</v>
      </c>
      <c r="O149" s="8">
        <f t="shared" si="91"/>
        <v>2.2000000000000002</v>
      </c>
      <c r="P149" s="8">
        <f t="shared" si="92"/>
        <v>2</v>
      </c>
    </row>
    <row r="150" spans="2:16" x14ac:dyDescent="0.25">
      <c r="B150" s="18"/>
      <c r="C150" s="18"/>
      <c r="D150" s="18"/>
      <c r="E150" s="6" t="s">
        <v>222</v>
      </c>
      <c r="F150" s="6" t="s">
        <v>223</v>
      </c>
      <c r="G150" s="6" t="s">
        <v>159</v>
      </c>
      <c r="H150" s="14">
        <f>VLOOKUP($F150,[1]PRODUTOS!$B:$E,2,0)</f>
        <v>1.2</v>
      </c>
      <c r="I150" s="7">
        <f>VLOOKUP($F150,[1]PRODUTOS!$B:$E,3,0)</f>
        <v>3.2</v>
      </c>
      <c r="J150" s="8"/>
      <c r="K150" s="8"/>
      <c r="L150" s="8"/>
      <c r="M150" s="8">
        <f t="shared" si="89"/>
        <v>3.1</v>
      </c>
      <c r="N150" s="8">
        <f t="shared" si="90"/>
        <v>2.9</v>
      </c>
      <c r="O150" s="8">
        <f t="shared" si="91"/>
        <v>2.6</v>
      </c>
      <c r="P150" s="8">
        <f t="shared" si="92"/>
        <v>2.4</v>
      </c>
    </row>
    <row r="151" spans="2:16" x14ac:dyDescent="0.25">
      <c r="B151" s="5"/>
      <c r="C151" s="5"/>
      <c r="D151" s="5"/>
      <c r="E151" s="6" t="s">
        <v>224</v>
      </c>
      <c r="F151" s="6" t="s">
        <v>225</v>
      </c>
      <c r="G151" s="6" t="s">
        <v>159</v>
      </c>
      <c r="H151" s="14">
        <f>VLOOKUP($F151,[1]PRODUTOS!$B:$E,2,0)</f>
        <v>1.2749999999999999</v>
      </c>
      <c r="I151" s="7">
        <f>VLOOKUP($F151,[1]PRODUTOS!$B:$E,3,0)</f>
        <v>3.4</v>
      </c>
      <c r="J151" s="8"/>
      <c r="K151" s="8"/>
      <c r="L151" s="8"/>
      <c r="M151" s="8">
        <f t="shared" si="89"/>
        <v>3.4</v>
      </c>
      <c r="N151" s="8">
        <f t="shared" si="90"/>
        <v>3.1</v>
      </c>
      <c r="O151" s="8">
        <f t="shared" si="91"/>
        <v>2.9</v>
      </c>
      <c r="P151" s="8">
        <f t="shared" si="92"/>
        <v>2.6</v>
      </c>
    </row>
    <row r="152" spans="2:16" x14ac:dyDescent="0.25">
      <c r="E152" s="6" t="s">
        <v>226</v>
      </c>
      <c r="F152" s="6" t="s">
        <v>227</v>
      </c>
      <c r="G152" s="6" t="s">
        <v>159</v>
      </c>
      <c r="H152" s="14">
        <f>VLOOKUP($F152,[1]PRODUTOS!$B:$E,2,0)</f>
        <v>1.9</v>
      </c>
      <c r="I152" s="7">
        <f>VLOOKUP($F152,[1]PRODUTOS!$B:$E,3,0)</f>
        <v>4.2</v>
      </c>
      <c r="J152" s="8"/>
      <c r="K152" s="8"/>
      <c r="L152" s="8"/>
      <c r="M152" s="8">
        <f t="shared" si="89"/>
        <v>4.9000000000000004</v>
      </c>
      <c r="N152" s="8">
        <f t="shared" si="90"/>
        <v>4.5999999999999996</v>
      </c>
      <c r="O152" s="8">
        <f t="shared" si="91"/>
        <v>4.2</v>
      </c>
      <c r="P152" s="8">
        <f t="shared" si="92"/>
        <v>3.8</v>
      </c>
    </row>
    <row r="153" spans="2:16" x14ac:dyDescent="0.25">
      <c r="B153" s="18"/>
      <c r="C153" s="18"/>
      <c r="D153" s="18"/>
      <c r="E153" s="6" t="s">
        <v>228</v>
      </c>
      <c r="F153" s="6" t="s">
        <v>229</v>
      </c>
      <c r="G153" s="6" t="s">
        <v>159</v>
      </c>
      <c r="H153" s="14">
        <f>VLOOKUP($F153,[1]PRODUTOS!$B:$E,2,0)</f>
        <v>1.86</v>
      </c>
      <c r="I153" s="7">
        <f>VLOOKUP($F153,[1]PRODUTOS!$B:$E,3,0)</f>
        <v>4.5</v>
      </c>
      <c r="J153" s="8"/>
      <c r="K153" s="8"/>
      <c r="L153" s="8"/>
      <c r="M153" s="8">
        <f t="shared" si="89"/>
        <v>4.9000000000000004</v>
      </c>
      <c r="N153" s="8">
        <f t="shared" si="90"/>
        <v>4.5999999999999996</v>
      </c>
      <c r="O153" s="8">
        <f t="shared" si="91"/>
        <v>4.2</v>
      </c>
      <c r="P153" s="8">
        <f t="shared" si="92"/>
        <v>3.8000000000000003</v>
      </c>
    </row>
    <row r="154" spans="2:16" x14ac:dyDescent="0.25">
      <c r="B154" s="18"/>
      <c r="C154" s="18"/>
      <c r="D154" s="18"/>
      <c r="E154" s="6"/>
      <c r="F154" s="6"/>
      <c r="G154" s="6"/>
      <c r="H154" s="14"/>
      <c r="I154" s="7"/>
      <c r="J154" s="8"/>
      <c r="K154" s="8"/>
      <c r="L154" s="8"/>
      <c r="M154" s="8"/>
      <c r="N154" s="8"/>
      <c r="O154" s="8"/>
      <c r="P154" s="8"/>
    </row>
    <row r="155" spans="2:16" x14ac:dyDescent="0.25">
      <c r="B155" s="18"/>
      <c r="C155" s="18"/>
      <c r="D155" s="18"/>
      <c r="E155" s="3" t="s">
        <v>8</v>
      </c>
      <c r="F155" s="3" t="s">
        <v>9</v>
      </c>
      <c r="G155" s="3" t="s">
        <v>10</v>
      </c>
      <c r="H155" s="14"/>
      <c r="I155" s="4" t="s">
        <v>11</v>
      </c>
      <c r="J155" s="13" t="s">
        <v>17</v>
      </c>
      <c r="K155" s="13" t="s">
        <v>16</v>
      </c>
      <c r="L155" s="13" t="s">
        <v>15</v>
      </c>
      <c r="M155" s="13" t="s">
        <v>14</v>
      </c>
      <c r="N155" s="13" t="s">
        <v>259</v>
      </c>
      <c r="O155" s="13" t="s">
        <v>13</v>
      </c>
      <c r="P155" s="13" t="s">
        <v>12</v>
      </c>
    </row>
    <row r="156" spans="2:16" x14ac:dyDescent="0.25">
      <c r="B156" s="18"/>
      <c r="C156" s="18"/>
      <c r="D156" s="18"/>
      <c r="E156" s="6" t="s">
        <v>260</v>
      </c>
      <c r="F156" s="6"/>
      <c r="G156" s="6"/>
      <c r="H156" s="14">
        <v>0.66</v>
      </c>
      <c r="I156" s="7"/>
      <c r="J156" s="8"/>
      <c r="K156" s="8"/>
      <c r="L156" s="8"/>
      <c r="M156" s="8">
        <f t="shared" ref="M156:M161" si="93">ROUND($P156*1.3,1)</f>
        <v>1.8</v>
      </c>
      <c r="N156" s="8">
        <f t="shared" ref="N156:N161" si="94">ROUND($P156*1.2,1)</f>
        <v>1.7</v>
      </c>
      <c r="O156" s="8">
        <f t="shared" ref="O156:O161" si="95">ROUND($P156*1.1,1)</f>
        <v>1.5</v>
      </c>
      <c r="P156" s="8">
        <f t="shared" ref="P156:P161" si="96">ROUNDUP($H156*2,1)</f>
        <v>1.4000000000000001</v>
      </c>
    </row>
    <row r="157" spans="2:16" x14ac:dyDescent="0.25">
      <c r="B157" s="18"/>
      <c r="C157" s="18"/>
      <c r="D157" s="18"/>
      <c r="E157" s="6" t="s">
        <v>261</v>
      </c>
      <c r="F157" s="6"/>
      <c r="G157" s="6"/>
      <c r="H157" s="14">
        <v>0.91</v>
      </c>
      <c r="I157" s="7"/>
      <c r="J157" s="8"/>
      <c r="K157" s="8"/>
      <c r="L157" s="8"/>
      <c r="M157" s="8">
        <f t="shared" si="93"/>
        <v>2.5</v>
      </c>
      <c r="N157" s="8">
        <f t="shared" si="94"/>
        <v>2.2999999999999998</v>
      </c>
      <c r="O157" s="8">
        <f t="shared" si="95"/>
        <v>2.1</v>
      </c>
      <c r="P157" s="8">
        <f t="shared" si="96"/>
        <v>1.9000000000000001</v>
      </c>
    </row>
    <row r="158" spans="2:16" x14ac:dyDescent="0.25">
      <c r="B158" s="18"/>
      <c r="C158" s="18"/>
      <c r="D158" s="18"/>
      <c r="E158" s="6" t="s">
        <v>262</v>
      </c>
      <c r="F158" s="6"/>
      <c r="G158" s="6"/>
      <c r="H158" s="14">
        <v>1.2</v>
      </c>
      <c r="I158" s="7"/>
      <c r="J158" s="8"/>
      <c r="K158" s="8"/>
      <c r="L158" s="8"/>
      <c r="M158" s="8">
        <f t="shared" si="93"/>
        <v>3.1</v>
      </c>
      <c r="N158" s="8">
        <f t="shared" si="94"/>
        <v>2.9</v>
      </c>
      <c r="O158" s="8">
        <f t="shared" si="95"/>
        <v>2.6</v>
      </c>
      <c r="P158" s="8">
        <f t="shared" si="96"/>
        <v>2.4</v>
      </c>
    </row>
    <row r="159" spans="2:16" x14ac:dyDescent="0.25">
      <c r="B159" s="18"/>
      <c r="C159" s="18"/>
      <c r="D159" s="18"/>
      <c r="E159" s="6" t="s">
        <v>263</v>
      </c>
      <c r="F159" s="6"/>
      <c r="G159" s="6"/>
      <c r="H159" s="14">
        <v>0.4</v>
      </c>
      <c r="I159" s="7"/>
      <c r="J159" s="8"/>
      <c r="K159" s="8"/>
      <c r="L159" s="8"/>
      <c r="M159" s="8">
        <f t="shared" si="93"/>
        <v>1</v>
      </c>
      <c r="N159" s="8">
        <f t="shared" si="94"/>
        <v>1</v>
      </c>
      <c r="O159" s="8">
        <f t="shared" si="95"/>
        <v>0.9</v>
      </c>
      <c r="P159" s="8">
        <f t="shared" si="96"/>
        <v>0.8</v>
      </c>
    </row>
    <row r="160" spans="2:16" x14ac:dyDescent="0.25">
      <c r="B160" s="18"/>
      <c r="C160" s="18"/>
      <c r="D160" s="18"/>
      <c r="E160" s="6" t="s">
        <v>264</v>
      </c>
      <c r="F160" s="6"/>
      <c r="G160" s="6"/>
      <c r="H160" s="14">
        <v>0.5</v>
      </c>
      <c r="I160" s="7"/>
      <c r="J160" s="8"/>
      <c r="K160" s="8"/>
      <c r="L160" s="8"/>
      <c r="M160" s="8">
        <f t="shared" si="93"/>
        <v>1.3</v>
      </c>
      <c r="N160" s="8">
        <f t="shared" si="94"/>
        <v>1.2</v>
      </c>
      <c r="O160" s="8">
        <f t="shared" si="95"/>
        <v>1.1000000000000001</v>
      </c>
      <c r="P160" s="8">
        <f t="shared" si="96"/>
        <v>1</v>
      </c>
    </row>
    <row r="161" spans="2:16" x14ac:dyDescent="0.25">
      <c r="B161" s="18"/>
      <c r="C161" s="18"/>
      <c r="D161" s="18"/>
      <c r="E161" s="6" t="s">
        <v>265</v>
      </c>
      <c r="F161" s="6"/>
      <c r="G161" s="6"/>
      <c r="H161" s="14">
        <v>0.75</v>
      </c>
      <c r="I161" s="7"/>
      <c r="J161" s="8"/>
      <c r="K161" s="8"/>
      <c r="L161" s="8"/>
      <c r="M161" s="8">
        <f t="shared" si="93"/>
        <v>2</v>
      </c>
      <c r="N161" s="8">
        <f t="shared" si="94"/>
        <v>1.8</v>
      </c>
      <c r="O161" s="8">
        <f t="shared" si="95"/>
        <v>1.7</v>
      </c>
      <c r="P161" s="8">
        <f t="shared" si="96"/>
        <v>1.5</v>
      </c>
    </row>
    <row r="162" spans="2:16" x14ac:dyDescent="0.25">
      <c r="B162" s="18"/>
      <c r="C162" s="18"/>
      <c r="D162" s="18"/>
      <c r="E162" s="6"/>
      <c r="F162" s="6"/>
      <c r="G162" s="6"/>
      <c r="H162" s="14"/>
      <c r="I162" s="7"/>
      <c r="J162" s="8"/>
      <c r="K162" s="8"/>
      <c r="L162" s="8"/>
      <c r="M162" s="8"/>
      <c r="N162" s="8"/>
      <c r="O162" s="8"/>
      <c r="P162" s="8"/>
    </row>
    <row r="163" spans="2:16" x14ac:dyDescent="0.25">
      <c r="B163" s="18"/>
      <c r="C163" s="18"/>
      <c r="D163" s="18"/>
      <c r="E163" s="6"/>
      <c r="F163" s="6"/>
      <c r="G163" s="6"/>
      <c r="H163" s="14"/>
      <c r="I163" s="7"/>
      <c r="J163" s="8"/>
      <c r="K163" s="8"/>
      <c r="L163" s="8"/>
      <c r="M163" s="8"/>
      <c r="N163" s="8"/>
      <c r="O163" s="8"/>
      <c r="P163" s="8"/>
    </row>
    <row r="164" spans="2:16" x14ac:dyDescent="0.25">
      <c r="B164" s="18"/>
      <c r="C164" s="18"/>
      <c r="D164" s="18"/>
      <c r="E164" s="6"/>
      <c r="F164" s="6"/>
      <c r="G164" s="6"/>
      <c r="H164" s="14"/>
      <c r="I164" s="7"/>
      <c r="J164" s="8"/>
      <c r="K164" s="8"/>
      <c r="L164" s="8"/>
      <c r="M164" s="8"/>
      <c r="N164" s="8"/>
      <c r="O164" s="8"/>
      <c r="P164" s="8"/>
    </row>
    <row r="165" spans="2:16" x14ac:dyDescent="0.25">
      <c r="B165" s="5"/>
      <c r="C165" s="5"/>
      <c r="D165" s="5"/>
      <c r="E165" s="6"/>
      <c r="F165" s="6"/>
      <c r="G165" s="6"/>
      <c r="H165" s="14"/>
      <c r="I165" s="7"/>
      <c r="J165" s="8"/>
      <c r="K165" s="8"/>
      <c r="L165" s="8"/>
      <c r="M165" s="8"/>
      <c r="N165" s="8"/>
      <c r="O165" s="8"/>
      <c r="P165" s="8"/>
    </row>
    <row r="166" spans="2:16" x14ac:dyDescent="0.25">
      <c r="E166" s="3" t="s">
        <v>8</v>
      </c>
      <c r="F166" s="3" t="s">
        <v>9</v>
      </c>
      <c r="G166" s="3" t="s">
        <v>10</v>
      </c>
      <c r="H166" s="14"/>
      <c r="I166" s="4" t="s">
        <v>11</v>
      </c>
      <c r="J166" s="13" t="s">
        <v>17</v>
      </c>
      <c r="K166" s="13" t="s">
        <v>16</v>
      </c>
      <c r="L166" s="13" t="s">
        <v>15</v>
      </c>
      <c r="M166" s="13" t="s">
        <v>14</v>
      </c>
      <c r="N166" s="13" t="s">
        <v>259</v>
      </c>
      <c r="O166" s="13" t="s">
        <v>13</v>
      </c>
      <c r="P166" s="13" t="s">
        <v>12</v>
      </c>
    </row>
    <row r="167" spans="2:16" x14ac:dyDescent="0.25">
      <c r="E167" s="6" t="s">
        <v>230</v>
      </c>
      <c r="F167" s="6" t="s">
        <v>231</v>
      </c>
      <c r="G167" s="6" t="s">
        <v>159</v>
      </c>
      <c r="H167" s="14">
        <f>VLOOKUP($F167,[1]PRODUTOS!$B:$E,2,0)</f>
        <v>0.1</v>
      </c>
      <c r="I167" s="7">
        <f>VLOOKUP($F167,[1]PRODUTOS!$B:$E,3,0)</f>
        <v>0.4</v>
      </c>
      <c r="J167" s="8"/>
      <c r="K167" s="8">
        <f>ROUND($P167*2.5,1)</f>
        <v>0.8</v>
      </c>
      <c r="L167" s="8">
        <f>ROUND($P167*1.6,1)</f>
        <v>0.5</v>
      </c>
      <c r="M167" s="8">
        <f>ROUND($P167*1.4,2)</f>
        <v>0.42</v>
      </c>
      <c r="N167" s="8">
        <f>ROUND($P167*1.2,2)</f>
        <v>0.36</v>
      </c>
      <c r="O167" s="8">
        <f>ROUND($P167*1.05,2)</f>
        <v>0.32</v>
      </c>
      <c r="P167" s="8">
        <f>ROUNDUP($H167*3,2)</f>
        <v>0.3</v>
      </c>
    </row>
    <row r="168" spans="2:16" x14ac:dyDescent="0.25">
      <c r="E168" s="6" t="s">
        <v>232</v>
      </c>
      <c r="F168" s="6" t="s">
        <v>233</v>
      </c>
      <c r="G168" s="6" t="s">
        <v>159</v>
      </c>
      <c r="H168" s="14">
        <f>VLOOKUP($F168,[1]PRODUTOS!$B:$E,2,0)</f>
        <v>0.14000000000000001</v>
      </c>
      <c r="I168" s="7">
        <f>VLOOKUP($F168,[1]PRODUTOS!$B:$E,3,0)</f>
        <v>0.5</v>
      </c>
      <c r="J168" s="8"/>
      <c r="K168" s="8">
        <f t="shared" ref="K168:K180" si="97">ROUND($P168*2.5,1)</f>
        <v>1.1000000000000001</v>
      </c>
      <c r="L168" s="8">
        <f t="shared" ref="L168:L180" si="98">ROUND($P168*1.6,1)</f>
        <v>0.7</v>
      </c>
      <c r="M168" s="8">
        <f t="shared" ref="M168:M180" si="99">ROUND($P168*1.4,2)</f>
        <v>0.59</v>
      </c>
      <c r="N168" s="8">
        <f t="shared" ref="N168:N180" si="100">ROUND($P168*1.2,2)</f>
        <v>0.5</v>
      </c>
      <c r="O168" s="8">
        <f t="shared" ref="O168:O180" si="101">ROUND($P168*1.05,2)</f>
        <v>0.44</v>
      </c>
      <c r="P168" s="8">
        <f t="shared" ref="P168:P180" si="102">ROUNDUP($H168*3,2)</f>
        <v>0.42</v>
      </c>
    </row>
    <row r="169" spans="2:16" x14ac:dyDescent="0.25">
      <c r="E169" s="6" t="s">
        <v>234</v>
      </c>
      <c r="F169" s="6" t="s">
        <v>235</v>
      </c>
      <c r="G169" s="6" t="s">
        <v>159</v>
      </c>
      <c r="H169" s="14">
        <f>VLOOKUP($F169,[1]PRODUTOS!$B:$E,2,0)</f>
        <v>0.1</v>
      </c>
      <c r="I169" s="7">
        <f>VLOOKUP($F169,[1]PRODUTOS!$B:$E,3,0)</f>
        <v>0.7</v>
      </c>
      <c r="J169" s="8"/>
      <c r="K169" s="8">
        <f t="shared" si="97"/>
        <v>0.8</v>
      </c>
      <c r="L169" s="8">
        <f t="shared" si="98"/>
        <v>0.5</v>
      </c>
      <c r="M169" s="8">
        <f t="shared" si="99"/>
        <v>0.42</v>
      </c>
      <c r="N169" s="8">
        <f t="shared" si="100"/>
        <v>0.36</v>
      </c>
      <c r="O169" s="8">
        <f t="shared" si="101"/>
        <v>0.32</v>
      </c>
      <c r="P169" s="8">
        <f t="shared" si="102"/>
        <v>0.3</v>
      </c>
    </row>
    <row r="170" spans="2:16" x14ac:dyDescent="0.25">
      <c r="E170" s="6" t="s">
        <v>236</v>
      </c>
      <c r="F170" s="6" t="s">
        <v>237</v>
      </c>
      <c r="G170" s="6" t="s">
        <v>159</v>
      </c>
      <c r="H170" s="14">
        <f>VLOOKUP($F170,[1]PRODUTOS!$B:$E,2,0)</f>
        <v>0.28000000000000003</v>
      </c>
      <c r="I170" s="7">
        <f>VLOOKUP($F170,[1]PRODUTOS!$B:$E,3,0)</f>
        <v>0.8</v>
      </c>
      <c r="J170" s="8"/>
      <c r="K170" s="8">
        <f t="shared" si="97"/>
        <v>2.1</v>
      </c>
      <c r="L170" s="8">
        <f t="shared" si="98"/>
        <v>1.3</v>
      </c>
      <c r="M170" s="8">
        <f t="shared" si="99"/>
        <v>1.18</v>
      </c>
      <c r="N170" s="8">
        <f t="shared" si="100"/>
        <v>1.01</v>
      </c>
      <c r="O170" s="8">
        <f t="shared" si="101"/>
        <v>0.88</v>
      </c>
      <c r="P170" s="8">
        <f t="shared" si="102"/>
        <v>0.84</v>
      </c>
    </row>
    <row r="171" spans="2:16" x14ac:dyDescent="0.25">
      <c r="E171" s="6" t="s">
        <v>240</v>
      </c>
      <c r="F171" s="6" t="s">
        <v>241</v>
      </c>
      <c r="G171" s="6" t="s">
        <v>159</v>
      </c>
      <c r="H171" s="14">
        <f>VLOOKUP($F171,[1]PRODUTOS!$B:$E,2,0)</f>
        <v>0.39</v>
      </c>
      <c r="I171" s="7">
        <f>VLOOKUP($F171,[1]PRODUTOS!$B:$E,3,0)</f>
        <v>1</v>
      </c>
      <c r="J171" s="8"/>
      <c r="K171" s="8">
        <f t="shared" si="97"/>
        <v>2.9</v>
      </c>
      <c r="L171" s="8">
        <f t="shared" si="98"/>
        <v>1.9</v>
      </c>
      <c r="M171" s="8">
        <f t="shared" si="99"/>
        <v>1.64</v>
      </c>
      <c r="N171" s="8">
        <f t="shared" si="100"/>
        <v>1.4</v>
      </c>
      <c r="O171" s="8">
        <f t="shared" si="101"/>
        <v>1.23</v>
      </c>
      <c r="P171" s="8">
        <f t="shared" si="102"/>
        <v>1.17</v>
      </c>
    </row>
    <row r="172" spans="2:16" x14ac:dyDescent="0.25">
      <c r="E172" s="6" t="s">
        <v>244</v>
      </c>
      <c r="F172" s="6" t="s">
        <v>245</v>
      </c>
      <c r="G172" s="6" t="s">
        <v>159</v>
      </c>
      <c r="H172" s="14">
        <f>VLOOKUP($F172,[1]PRODUTOS!$B:$E,2,0)</f>
        <v>0.33</v>
      </c>
      <c r="I172" s="7">
        <f>VLOOKUP($F172,[1]PRODUTOS!$B:$E,3,0)</f>
        <v>1.2</v>
      </c>
      <c r="J172" s="8"/>
      <c r="K172" s="8">
        <f t="shared" si="97"/>
        <v>2.5</v>
      </c>
      <c r="L172" s="8">
        <f t="shared" si="98"/>
        <v>1.6</v>
      </c>
      <c r="M172" s="8">
        <f t="shared" si="99"/>
        <v>1.39</v>
      </c>
      <c r="N172" s="8">
        <f t="shared" si="100"/>
        <v>1.19</v>
      </c>
      <c r="O172" s="8">
        <f t="shared" si="101"/>
        <v>1.04</v>
      </c>
      <c r="P172" s="8">
        <f t="shared" si="102"/>
        <v>0.99</v>
      </c>
    </row>
    <row r="173" spans="2:16" x14ac:dyDescent="0.25">
      <c r="E173" s="6" t="s">
        <v>246</v>
      </c>
      <c r="F173" s="6" t="s">
        <v>247</v>
      </c>
      <c r="G173" s="6" t="s">
        <v>159</v>
      </c>
      <c r="H173" s="14">
        <f>VLOOKUP($F173,[1]PRODUTOS!$B:$E,2,0)</f>
        <v>0.65</v>
      </c>
      <c r="I173" s="7">
        <f>VLOOKUP($F173,[1]PRODUTOS!$B:$E,3,0)</f>
        <v>1.4</v>
      </c>
      <c r="J173" s="8"/>
      <c r="K173" s="8">
        <f t="shared" si="97"/>
        <v>4.9000000000000004</v>
      </c>
      <c r="L173" s="8">
        <f t="shared" si="98"/>
        <v>3.1</v>
      </c>
      <c r="M173" s="8">
        <f t="shared" si="99"/>
        <v>2.73</v>
      </c>
      <c r="N173" s="8">
        <f t="shared" si="100"/>
        <v>2.34</v>
      </c>
      <c r="O173" s="8">
        <f t="shared" si="101"/>
        <v>2.0499999999999998</v>
      </c>
      <c r="P173" s="8">
        <f t="shared" si="102"/>
        <v>1.95</v>
      </c>
    </row>
    <row r="174" spans="2:16" x14ac:dyDescent="0.25">
      <c r="E174" s="6" t="s">
        <v>250</v>
      </c>
      <c r="F174" s="6" t="s">
        <v>251</v>
      </c>
      <c r="G174" s="6" t="s">
        <v>159</v>
      </c>
      <c r="H174" s="14">
        <f>VLOOKUP($F174,[1]PRODUTOS!$B:$E,2,0)</f>
        <v>0.84</v>
      </c>
      <c r="I174" s="7">
        <f>VLOOKUP($F174,[1]PRODUTOS!$B:$E,3,0)</f>
        <v>2.1</v>
      </c>
      <c r="J174" s="8"/>
      <c r="K174" s="8">
        <f t="shared" si="97"/>
        <v>6.3</v>
      </c>
      <c r="L174" s="8">
        <f t="shared" si="98"/>
        <v>4</v>
      </c>
      <c r="M174" s="8">
        <f t="shared" si="99"/>
        <v>3.53</v>
      </c>
      <c r="N174" s="8">
        <f t="shared" si="100"/>
        <v>3.02</v>
      </c>
      <c r="O174" s="8">
        <f t="shared" si="101"/>
        <v>2.65</v>
      </c>
      <c r="P174" s="8">
        <f t="shared" si="102"/>
        <v>2.52</v>
      </c>
    </row>
    <row r="175" spans="2:16" ht="15.75" thickBot="1" x14ac:dyDescent="0.3">
      <c r="E175" s="20" t="s">
        <v>252</v>
      </c>
      <c r="F175" s="20" t="s">
        <v>253</v>
      </c>
      <c r="G175" s="20" t="s">
        <v>159</v>
      </c>
      <c r="H175" s="21">
        <f>VLOOKUP($F175,[1]PRODUTOS!$B:$E,2,0)</f>
        <v>0.87</v>
      </c>
      <c r="I175" s="30">
        <f>VLOOKUP($F175,[1]PRODUTOS!$B:$E,3,0)</f>
        <v>2.2000000000000002</v>
      </c>
      <c r="J175" s="31"/>
      <c r="K175" s="31">
        <f t="shared" si="97"/>
        <v>6.5</v>
      </c>
      <c r="L175" s="31">
        <f t="shared" si="98"/>
        <v>4.2</v>
      </c>
      <c r="M175" s="31">
        <f t="shared" si="99"/>
        <v>3.65</v>
      </c>
      <c r="N175" s="31">
        <f t="shared" si="100"/>
        <v>3.13</v>
      </c>
      <c r="O175" s="31">
        <f t="shared" si="101"/>
        <v>2.74</v>
      </c>
      <c r="P175" s="31">
        <f t="shared" si="102"/>
        <v>2.61</v>
      </c>
    </row>
    <row r="176" spans="2:16" x14ac:dyDescent="0.25">
      <c r="E176" s="23" t="s">
        <v>238</v>
      </c>
      <c r="F176" s="24" t="s">
        <v>239</v>
      </c>
      <c r="G176" s="24" t="s">
        <v>159</v>
      </c>
      <c r="H176" s="26">
        <f>VLOOKUP($F176,[1]PRODUTOS!$B:$E,2,0)</f>
        <v>0.59</v>
      </c>
      <c r="I176" s="34">
        <f>VLOOKUP($F176,[1]PRODUTOS!$B:$E,3,0)</f>
        <v>1.25</v>
      </c>
      <c r="J176" s="35"/>
      <c r="K176" s="35">
        <f t="shared" si="97"/>
        <v>3.3</v>
      </c>
      <c r="L176" s="35">
        <f>ROUND($P176*1.5,1)</f>
        <v>2</v>
      </c>
      <c r="M176" s="35">
        <f>ROUND($P176*1.25,2)</f>
        <v>1.66</v>
      </c>
      <c r="N176" s="35">
        <f>ROUND($P176*1.15,2)</f>
        <v>1.53</v>
      </c>
      <c r="O176" s="35">
        <f>ROUND($P176*1.05,2)</f>
        <v>1.4</v>
      </c>
      <c r="P176" s="36">
        <f>ROUNDUP($H176*2.25,2)</f>
        <v>1.33</v>
      </c>
    </row>
    <row r="177" spans="5:16" x14ac:dyDescent="0.25">
      <c r="E177" s="25" t="s">
        <v>242</v>
      </c>
      <c r="F177" s="6" t="s">
        <v>243</v>
      </c>
      <c r="G177" s="6" t="s">
        <v>159</v>
      </c>
      <c r="H177" s="26">
        <f>VLOOKUP($F177,[1]PRODUTOS!$B:$E,2,0)</f>
        <v>0.8</v>
      </c>
      <c r="I177" s="19">
        <f>VLOOKUP($F177,[1]PRODUTOS!$B:$E,3,0)</f>
        <v>1.6</v>
      </c>
      <c r="J177" s="8"/>
      <c r="K177" s="8">
        <f t="shared" si="97"/>
        <v>4.5</v>
      </c>
      <c r="L177" s="8">
        <f t="shared" ref="L177:L180" si="103">ROUND($P177*1.5,1)</f>
        <v>2.7</v>
      </c>
      <c r="M177" s="8">
        <f t="shared" ref="M177:M180" si="104">ROUND($P177*1.25,2)</f>
        <v>2.25</v>
      </c>
      <c r="N177" s="8">
        <f t="shared" ref="N177:N180" si="105">ROUND($P177*1.15,2)</f>
        <v>2.0699999999999998</v>
      </c>
      <c r="O177" s="8">
        <f t="shared" ref="O177:O180" si="106">ROUND($P177*1.05,2)</f>
        <v>1.89</v>
      </c>
      <c r="P177" s="37">
        <f t="shared" ref="P177:P180" si="107">ROUNDUP($H177*2.25,2)</f>
        <v>1.8</v>
      </c>
    </row>
    <row r="178" spans="5:16" x14ac:dyDescent="0.25">
      <c r="E178" s="25" t="s">
        <v>248</v>
      </c>
      <c r="F178" s="6" t="s">
        <v>249</v>
      </c>
      <c r="G178" s="6" t="s">
        <v>159</v>
      </c>
      <c r="H178" s="26">
        <f>VLOOKUP($F178,[1]PRODUTOS!$B:$E,2,0)</f>
        <v>1.2</v>
      </c>
      <c r="I178" s="19">
        <f>VLOOKUP($F178,[1]PRODUTOS!$B:$E,3,0)</f>
        <v>2.4</v>
      </c>
      <c r="J178" s="8"/>
      <c r="K178" s="8">
        <f t="shared" si="97"/>
        <v>6.8</v>
      </c>
      <c r="L178" s="8">
        <f t="shared" si="103"/>
        <v>4.0999999999999996</v>
      </c>
      <c r="M178" s="8">
        <f t="shared" si="104"/>
        <v>3.38</v>
      </c>
      <c r="N178" s="8">
        <f t="shared" si="105"/>
        <v>3.11</v>
      </c>
      <c r="O178" s="8">
        <f t="shared" si="106"/>
        <v>2.84</v>
      </c>
      <c r="P178" s="37">
        <f t="shared" si="107"/>
        <v>2.7</v>
      </c>
    </row>
    <row r="179" spans="5:16" x14ac:dyDescent="0.25">
      <c r="E179" s="25" t="s">
        <v>254</v>
      </c>
      <c r="F179" s="6" t="s">
        <v>255</v>
      </c>
      <c r="G179" s="6" t="s">
        <v>159</v>
      </c>
      <c r="H179" s="26">
        <f>VLOOKUP($F179,[1]PRODUTOS!$B:$E,2,0)</f>
        <v>1.1000000000000001</v>
      </c>
      <c r="I179" s="19">
        <f>VLOOKUP($F179,[1]PRODUTOS!$B:$E,3,0)</f>
        <v>3.5</v>
      </c>
      <c r="J179" s="8"/>
      <c r="K179" s="8">
        <f t="shared" si="97"/>
        <v>6.2</v>
      </c>
      <c r="L179" s="8">
        <f t="shared" si="103"/>
        <v>3.7</v>
      </c>
      <c r="M179" s="8">
        <f t="shared" si="104"/>
        <v>3.1</v>
      </c>
      <c r="N179" s="8">
        <f t="shared" si="105"/>
        <v>2.85</v>
      </c>
      <c r="O179" s="8">
        <f t="shared" si="106"/>
        <v>2.6</v>
      </c>
      <c r="P179" s="37">
        <f t="shared" si="107"/>
        <v>2.48</v>
      </c>
    </row>
    <row r="180" spans="5:16" ht="15.75" thickBot="1" x14ac:dyDescent="0.3">
      <c r="E180" s="27" t="s">
        <v>256</v>
      </c>
      <c r="F180" s="28" t="s">
        <v>257</v>
      </c>
      <c r="G180" s="28" t="s">
        <v>159</v>
      </c>
      <c r="H180" s="29">
        <f>VLOOKUP($F180,[1]PRODUTOS!$B:$E,2,0)</f>
        <v>0.51</v>
      </c>
      <c r="I180" s="38">
        <f>VLOOKUP($F180,[1]PRODUTOS!$B:$E,3,0)</f>
        <v>2.5</v>
      </c>
      <c r="J180" s="39"/>
      <c r="K180" s="39">
        <f t="shared" si="97"/>
        <v>2.9</v>
      </c>
      <c r="L180" s="39">
        <f t="shared" si="103"/>
        <v>1.7</v>
      </c>
      <c r="M180" s="39">
        <f t="shared" si="104"/>
        <v>1.44</v>
      </c>
      <c r="N180" s="39">
        <f t="shared" si="105"/>
        <v>1.32</v>
      </c>
      <c r="O180" s="39">
        <f t="shared" si="106"/>
        <v>1.21</v>
      </c>
      <c r="P180" s="40">
        <f t="shared" si="107"/>
        <v>1.1499999999999999</v>
      </c>
    </row>
    <row r="181" spans="5:16" x14ac:dyDescent="0.25">
      <c r="E181" s="22"/>
      <c r="F181" s="22"/>
      <c r="G181" s="22"/>
      <c r="H181" s="22"/>
      <c r="I181" s="32"/>
      <c r="J181" s="33"/>
      <c r="K181" s="33"/>
      <c r="L181" s="33"/>
      <c r="M181" s="33"/>
      <c r="N181" s="33"/>
      <c r="O181" s="33"/>
      <c r="P181" s="33"/>
    </row>
    <row r="182" spans="5:16" x14ac:dyDescent="0.25">
      <c r="J182" s="8"/>
      <c r="K182" s="8"/>
      <c r="L182" s="8"/>
      <c r="M182" s="8"/>
      <c r="N182" s="8"/>
      <c r="O182" s="8"/>
      <c r="P182" s="8"/>
    </row>
    <row r="183" spans="5:16" x14ac:dyDescent="0.25">
      <c r="J183" s="8"/>
      <c r="K183" s="8"/>
      <c r="L183" s="8"/>
      <c r="M183" s="8"/>
      <c r="N183" s="8"/>
      <c r="O183" s="8"/>
      <c r="P183" s="8"/>
    </row>
    <row r="184" spans="5:16" x14ac:dyDescent="0.25">
      <c r="J184" s="8"/>
      <c r="K184" s="8"/>
      <c r="L184" s="8"/>
      <c r="M184" s="8"/>
      <c r="N184" s="8"/>
      <c r="O184" s="8"/>
      <c r="P184" s="8"/>
    </row>
    <row r="185" spans="5:16" x14ac:dyDescent="0.25">
      <c r="J185" s="8"/>
      <c r="K185" s="8"/>
      <c r="L185" s="8"/>
      <c r="M185" s="8"/>
      <c r="N185" s="8"/>
      <c r="O185" s="8"/>
      <c r="P185" s="8"/>
    </row>
    <row r="186" spans="5:16" x14ac:dyDescent="0.25">
      <c r="J186" s="8"/>
      <c r="K186" s="8"/>
      <c r="L186" s="8"/>
      <c r="M186" s="8"/>
      <c r="N186" s="8"/>
      <c r="O186" s="8"/>
      <c r="P186" s="8"/>
    </row>
    <row r="187" spans="5:16" x14ac:dyDescent="0.25">
      <c r="J187" s="8"/>
      <c r="K187" s="8"/>
      <c r="L187" s="8"/>
      <c r="M187" s="8"/>
      <c r="N187" s="8"/>
      <c r="O187" s="8"/>
      <c r="P187" s="8"/>
    </row>
    <row r="188" spans="5:16" x14ac:dyDescent="0.25">
      <c r="J188" s="8"/>
      <c r="K188" s="8"/>
      <c r="L188" s="8"/>
      <c r="M188" s="8"/>
      <c r="N188" s="8"/>
      <c r="O188" s="8"/>
      <c r="P188" s="8"/>
    </row>
    <row r="189" spans="5:16" x14ac:dyDescent="0.25">
      <c r="J189" s="8"/>
      <c r="K189" s="8"/>
      <c r="L189" s="8"/>
      <c r="M189" s="8"/>
      <c r="N189" s="8"/>
      <c r="O189" s="8"/>
      <c r="P189" s="8"/>
    </row>
    <row r="190" spans="5:16" x14ac:dyDescent="0.25">
      <c r="J190" s="8"/>
      <c r="K190" s="8"/>
      <c r="L190" s="8"/>
      <c r="M190" s="8"/>
      <c r="N190" s="8"/>
      <c r="O190" s="8"/>
      <c r="P190" s="8"/>
    </row>
    <row r="191" spans="5:16" x14ac:dyDescent="0.25">
      <c r="J191" s="8"/>
      <c r="K191" s="8"/>
      <c r="L191" s="8"/>
      <c r="M191" s="8"/>
      <c r="N191" s="8"/>
      <c r="O191" s="8"/>
      <c r="P191" s="8"/>
    </row>
    <row r="192" spans="5:16" x14ac:dyDescent="0.25">
      <c r="J192" s="8"/>
      <c r="K192" s="8"/>
      <c r="L192" s="8"/>
      <c r="M192" s="8"/>
      <c r="N192" s="8"/>
      <c r="O192" s="8"/>
      <c r="P192" s="8"/>
    </row>
    <row r="193" spans="10:16" x14ac:dyDescent="0.25">
      <c r="J193" s="8"/>
      <c r="K193" s="8"/>
      <c r="L193" s="8"/>
      <c r="M193" s="8"/>
      <c r="N193" s="8"/>
      <c r="O193" s="8"/>
      <c r="P193" s="8"/>
    </row>
    <row r="194" spans="10:16" x14ac:dyDescent="0.25">
      <c r="J194" s="8"/>
      <c r="K194" s="8"/>
      <c r="L194" s="8"/>
      <c r="M194" s="8"/>
      <c r="N194" s="8"/>
      <c r="O194" s="8"/>
      <c r="P194" s="8"/>
    </row>
    <row r="195" spans="10:16" x14ac:dyDescent="0.25">
      <c r="J195" s="8"/>
      <c r="K195" s="8"/>
      <c r="L195" s="8"/>
      <c r="M195" s="8"/>
      <c r="N195" s="8"/>
      <c r="O195" s="8"/>
      <c r="P195" s="8"/>
    </row>
    <row r="196" spans="10:16" x14ac:dyDescent="0.25">
      <c r="J196" s="8"/>
      <c r="K196" s="8"/>
      <c r="L196" s="8"/>
      <c r="M196" s="8"/>
      <c r="N196" s="8"/>
      <c r="O196" s="8"/>
      <c r="P196" s="8"/>
    </row>
    <row r="197" spans="10:16" x14ac:dyDescent="0.25">
      <c r="J197" s="8"/>
      <c r="K197" s="8"/>
      <c r="L197" s="8"/>
      <c r="M197" s="8"/>
      <c r="N197" s="8"/>
      <c r="O197" s="8"/>
      <c r="P197" s="8"/>
    </row>
    <row r="198" spans="10:16" x14ac:dyDescent="0.25">
      <c r="J198" s="8"/>
      <c r="K198" s="8"/>
      <c r="L198" s="8"/>
      <c r="M198" s="8"/>
      <c r="N198" s="8"/>
      <c r="O198" s="8"/>
      <c r="P198" s="8"/>
    </row>
    <row r="199" spans="10:16" x14ac:dyDescent="0.25">
      <c r="J199" s="8"/>
      <c r="K199" s="8"/>
      <c r="L199" s="8"/>
      <c r="M199" s="8"/>
      <c r="N199" s="8"/>
      <c r="O199" s="8"/>
      <c r="P199" s="8"/>
    </row>
    <row r="200" spans="10:16" x14ac:dyDescent="0.25">
      <c r="J200" s="8"/>
      <c r="K200" s="8"/>
      <c r="L200" s="8"/>
      <c r="M200" s="8"/>
      <c r="N200" s="8"/>
      <c r="O200" s="8"/>
      <c r="P200" s="8"/>
    </row>
    <row r="201" spans="10:16" x14ac:dyDescent="0.25">
      <c r="J201" s="8"/>
      <c r="K201" s="8"/>
      <c r="L201" s="8"/>
      <c r="M201" s="8"/>
      <c r="N201" s="8"/>
      <c r="O201" s="8"/>
      <c r="P201" s="8"/>
    </row>
    <row r="202" spans="10:16" x14ac:dyDescent="0.25">
      <c r="J202" s="8"/>
      <c r="K202" s="8"/>
      <c r="L202" s="8"/>
      <c r="M202" s="8"/>
      <c r="N202" s="8"/>
      <c r="O202" s="8"/>
      <c r="P202" s="8"/>
    </row>
    <row r="203" spans="10:16" x14ac:dyDescent="0.25">
      <c r="J203" s="8"/>
      <c r="K203" s="8"/>
      <c r="L203" s="8"/>
      <c r="M203" s="8"/>
      <c r="N203" s="8"/>
      <c r="O203" s="8"/>
      <c r="P203" s="8"/>
    </row>
    <row r="204" spans="10:16" x14ac:dyDescent="0.25">
      <c r="J204" s="8"/>
      <c r="K204" s="8"/>
      <c r="L204" s="8"/>
      <c r="M204" s="8"/>
      <c r="N204" s="8"/>
      <c r="O204" s="8"/>
      <c r="P204" s="8"/>
    </row>
    <row r="205" spans="10:16" x14ac:dyDescent="0.25">
      <c r="J205" s="8"/>
      <c r="K205" s="8"/>
      <c r="L205" s="8"/>
      <c r="M205" s="8"/>
      <c r="N205" s="8"/>
      <c r="O205" s="8"/>
      <c r="P205" s="8"/>
    </row>
    <row r="206" spans="10:16" x14ac:dyDescent="0.25">
      <c r="J206" s="8"/>
      <c r="K206" s="8"/>
      <c r="L206" s="8"/>
      <c r="M206" s="8"/>
      <c r="N206" s="8"/>
      <c r="O206" s="8"/>
      <c r="P206" s="8"/>
    </row>
    <row r="207" spans="10:16" x14ac:dyDescent="0.25">
      <c r="J207" s="8"/>
      <c r="K207" s="8"/>
      <c r="L207" s="8"/>
      <c r="M207" s="8"/>
      <c r="N207" s="8"/>
      <c r="O207" s="8"/>
      <c r="P207" s="8"/>
    </row>
    <row r="208" spans="10:16" x14ac:dyDescent="0.25">
      <c r="J208" s="8"/>
      <c r="K208" s="8"/>
      <c r="L208" s="8"/>
      <c r="M208" s="8"/>
      <c r="N208" s="8"/>
      <c r="O208" s="8"/>
      <c r="P208" s="8"/>
    </row>
    <row r="209" spans="10:16" x14ac:dyDescent="0.25">
      <c r="J209" s="8"/>
      <c r="K209" s="8"/>
      <c r="L209" s="8"/>
      <c r="M209" s="8"/>
      <c r="N209" s="8"/>
      <c r="O209" s="8"/>
      <c r="P209" s="8"/>
    </row>
    <row r="210" spans="10:16" x14ac:dyDescent="0.25">
      <c r="J210" s="8"/>
      <c r="K210" s="8"/>
      <c r="L210" s="8"/>
      <c r="M210" s="8"/>
      <c r="N210" s="8"/>
      <c r="O210" s="8"/>
      <c r="P210" s="8"/>
    </row>
    <row r="211" spans="10:16" x14ac:dyDescent="0.25">
      <c r="J211" s="8"/>
      <c r="K211" s="8"/>
      <c r="L211" s="8"/>
      <c r="M211" s="8"/>
      <c r="N211" s="8"/>
      <c r="O211" s="8"/>
      <c r="P211" s="8"/>
    </row>
    <row r="212" spans="10:16" x14ac:dyDescent="0.25">
      <c r="J212" s="8"/>
      <c r="K212" s="8"/>
      <c r="L212" s="8"/>
      <c r="M212" s="8"/>
      <c r="N212" s="8"/>
      <c r="O212" s="8"/>
      <c r="P212" s="8"/>
    </row>
    <row r="213" spans="10:16" x14ac:dyDescent="0.25">
      <c r="J213" s="8"/>
      <c r="K213" s="8"/>
      <c r="L213" s="8"/>
      <c r="M213" s="8"/>
      <c r="N213" s="8"/>
      <c r="O213" s="8"/>
      <c r="P213" s="8"/>
    </row>
    <row r="214" spans="10:16" x14ac:dyDescent="0.25">
      <c r="J214" s="8"/>
      <c r="K214" s="8"/>
      <c r="L214" s="8"/>
      <c r="M214" s="8"/>
      <c r="N214" s="8"/>
      <c r="O214" s="8"/>
      <c r="P214" s="8"/>
    </row>
    <row r="215" spans="10:16" x14ac:dyDescent="0.25">
      <c r="J215" s="8"/>
      <c r="K215" s="8"/>
      <c r="L215" s="8"/>
      <c r="M215" s="8"/>
      <c r="N215" s="8"/>
      <c r="O215" s="8"/>
      <c r="P215" s="8"/>
    </row>
    <row r="216" spans="10:16" x14ac:dyDescent="0.25">
      <c r="J216" s="8"/>
      <c r="K216" s="8"/>
      <c r="L216" s="8"/>
      <c r="M216" s="8"/>
      <c r="N216" s="8"/>
      <c r="O216" s="8"/>
      <c r="P216" s="8"/>
    </row>
    <row r="217" spans="10:16" x14ac:dyDescent="0.25">
      <c r="J217" s="8"/>
      <c r="K217" s="8"/>
      <c r="L217" s="8"/>
      <c r="M217" s="8"/>
      <c r="N217" s="8"/>
      <c r="O217" s="8"/>
      <c r="P217" s="8"/>
    </row>
    <row r="218" spans="10:16" x14ac:dyDescent="0.25">
      <c r="J218" s="8"/>
      <c r="K218" s="8"/>
      <c r="L218" s="8"/>
      <c r="M218" s="8"/>
      <c r="N218" s="8"/>
      <c r="O218" s="8"/>
      <c r="P218" s="8"/>
    </row>
    <row r="219" spans="10:16" x14ac:dyDescent="0.25">
      <c r="J219" s="8"/>
      <c r="K219" s="8"/>
      <c r="L219" s="8"/>
      <c r="M219" s="8"/>
      <c r="N219" s="8"/>
      <c r="O219" s="8"/>
      <c r="P219" s="8"/>
    </row>
    <row r="220" spans="10:16" x14ac:dyDescent="0.25">
      <c r="J220" s="8"/>
      <c r="K220" s="8"/>
      <c r="L220" s="8"/>
      <c r="M220" s="8"/>
      <c r="N220" s="8"/>
      <c r="O220" s="8"/>
      <c r="P220" s="8"/>
    </row>
    <row r="221" spans="10:16" x14ac:dyDescent="0.25">
      <c r="J221" s="8"/>
      <c r="K221" s="8"/>
      <c r="L221" s="8"/>
      <c r="M221" s="8"/>
      <c r="N221" s="8"/>
      <c r="O221" s="8"/>
      <c r="P221" s="8"/>
    </row>
    <row r="222" spans="10:16" x14ac:dyDescent="0.25">
      <c r="J222" s="8"/>
      <c r="K222" s="8"/>
      <c r="L222" s="8"/>
      <c r="M222" s="8"/>
      <c r="N222" s="8"/>
      <c r="O222" s="8"/>
      <c r="P222" s="8"/>
    </row>
    <row r="223" spans="10:16" x14ac:dyDescent="0.25">
      <c r="J223" s="8"/>
      <c r="K223" s="8"/>
      <c r="L223" s="8"/>
      <c r="M223" s="8"/>
      <c r="N223" s="8"/>
      <c r="O223" s="8"/>
      <c r="P223" s="8"/>
    </row>
    <row r="224" spans="10:16" x14ac:dyDescent="0.25">
      <c r="J224" s="8"/>
      <c r="K224" s="8"/>
      <c r="L224" s="8"/>
      <c r="M224" s="8"/>
      <c r="N224" s="8"/>
      <c r="O224" s="8"/>
      <c r="P224" s="8"/>
    </row>
    <row r="225" spans="10:16" x14ac:dyDescent="0.25">
      <c r="J225" s="8"/>
      <c r="K225" s="8"/>
      <c r="L225" s="8"/>
      <c r="M225" s="8"/>
      <c r="N225" s="8"/>
      <c r="O225" s="8"/>
      <c r="P225" s="8"/>
    </row>
    <row r="226" spans="10:16" x14ac:dyDescent="0.25">
      <c r="J226" s="8"/>
      <c r="K226" s="8"/>
      <c r="L226" s="8"/>
      <c r="M226" s="8"/>
      <c r="N226" s="8"/>
      <c r="O226" s="8"/>
      <c r="P226" s="8"/>
    </row>
    <row r="227" spans="10:16" x14ac:dyDescent="0.25">
      <c r="J227" s="8"/>
      <c r="K227" s="8"/>
      <c r="L227" s="8"/>
      <c r="M227" s="8"/>
      <c r="N227" s="8"/>
      <c r="O227" s="8"/>
      <c r="P227" s="8"/>
    </row>
    <row r="228" spans="10:16" x14ac:dyDescent="0.25">
      <c r="J228" s="8"/>
      <c r="K228" s="8"/>
      <c r="L228" s="8"/>
      <c r="M228" s="8"/>
      <c r="N228" s="8"/>
      <c r="O228" s="8"/>
      <c r="P228" s="8"/>
    </row>
    <row r="229" spans="10:16" x14ac:dyDescent="0.25">
      <c r="J229" s="8"/>
      <c r="K229" s="8"/>
      <c r="L229" s="8"/>
      <c r="M229" s="8"/>
      <c r="N229" s="8"/>
      <c r="O229" s="8"/>
      <c r="P229" s="8"/>
    </row>
    <row r="230" spans="10:16" x14ac:dyDescent="0.25">
      <c r="J230" s="8"/>
      <c r="K230" s="8"/>
      <c r="L230" s="8"/>
      <c r="M230" s="8"/>
      <c r="N230" s="8"/>
      <c r="O230" s="8"/>
      <c r="P230" s="8"/>
    </row>
    <row r="231" spans="10:16" x14ac:dyDescent="0.25">
      <c r="J231" s="8"/>
      <c r="K231" s="8"/>
      <c r="L231" s="8"/>
      <c r="M231" s="8"/>
      <c r="N231" s="8"/>
      <c r="O231" s="8"/>
      <c r="P231" s="8"/>
    </row>
    <row r="232" spans="10:16" x14ac:dyDescent="0.25">
      <c r="J232" s="8"/>
      <c r="K232" s="8"/>
      <c r="L232" s="8"/>
      <c r="M232" s="8"/>
      <c r="N232" s="8"/>
      <c r="O232" s="8"/>
      <c r="P232" s="8"/>
    </row>
    <row r="233" spans="10:16" x14ac:dyDescent="0.25">
      <c r="J233" s="8"/>
      <c r="K233" s="8"/>
      <c r="L233" s="8"/>
      <c r="M233" s="8"/>
      <c r="N233" s="8"/>
      <c r="O233" s="8"/>
      <c r="P233" s="8"/>
    </row>
    <row r="234" spans="10:16" x14ac:dyDescent="0.25">
      <c r="J234" s="8"/>
      <c r="K234" s="8"/>
      <c r="L234" s="8"/>
      <c r="M234" s="8"/>
      <c r="N234" s="8"/>
      <c r="O234" s="8"/>
      <c r="P234" s="8"/>
    </row>
    <row r="235" spans="10:16" x14ac:dyDescent="0.25">
      <c r="J235" s="8"/>
      <c r="K235" s="8"/>
      <c r="L235" s="8"/>
      <c r="M235" s="8"/>
      <c r="N235" s="8"/>
      <c r="O235" s="8"/>
      <c r="P235" s="8"/>
    </row>
    <row r="236" spans="10:16" x14ac:dyDescent="0.25">
      <c r="J236" s="8"/>
      <c r="K236" s="8"/>
      <c r="L236" s="8"/>
      <c r="M236" s="8"/>
      <c r="N236" s="8"/>
      <c r="O236" s="8"/>
      <c r="P236" s="8"/>
    </row>
    <row r="237" spans="10:16" x14ac:dyDescent="0.25">
      <c r="J237" s="8"/>
      <c r="K237" s="8"/>
      <c r="L237" s="8"/>
      <c r="M237" s="8"/>
      <c r="N237" s="8"/>
      <c r="O237" s="8"/>
      <c r="P237" s="8"/>
    </row>
    <row r="238" spans="10:16" x14ac:dyDescent="0.25">
      <c r="J238" s="8"/>
      <c r="K238" s="8"/>
      <c r="L238" s="8"/>
      <c r="M238" s="8"/>
      <c r="N238" s="8"/>
      <c r="O238" s="8"/>
      <c r="P238" s="8"/>
    </row>
    <row r="239" spans="10:16" x14ac:dyDescent="0.25">
      <c r="J239" s="8"/>
      <c r="K239" s="8"/>
      <c r="L239" s="8"/>
      <c r="M239" s="8"/>
      <c r="N239" s="8"/>
      <c r="O239" s="8"/>
      <c r="P239" s="8"/>
    </row>
    <row r="240" spans="10:16" x14ac:dyDescent="0.25">
      <c r="J240" s="8"/>
      <c r="K240" s="8"/>
      <c r="L240" s="8"/>
      <c r="M240" s="8"/>
      <c r="N240" s="8"/>
      <c r="O240" s="8"/>
      <c r="P240" s="8"/>
    </row>
    <row r="241" spans="10:16" x14ac:dyDescent="0.25">
      <c r="J241" s="8"/>
      <c r="K241" s="8"/>
      <c r="L241" s="8"/>
      <c r="M241" s="8"/>
      <c r="N241" s="8"/>
      <c r="O241" s="8"/>
      <c r="P241" s="8"/>
    </row>
    <row r="242" spans="10:16" x14ac:dyDescent="0.25">
      <c r="J242" s="8"/>
      <c r="K242" s="8"/>
      <c r="L242" s="8"/>
      <c r="M242" s="8"/>
      <c r="N242" s="8"/>
      <c r="O242" s="8"/>
      <c r="P242" s="8"/>
    </row>
    <row r="243" spans="10:16" x14ac:dyDescent="0.25">
      <c r="J243" s="8"/>
      <c r="K243" s="8"/>
      <c r="L243" s="8"/>
      <c r="M243" s="8"/>
      <c r="N243" s="8"/>
      <c r="O243" s="8"/>
      <c r="P243" s="8"/>
    </row>
    <row r="244" spans="10:16" x14ac:dyDescent="0.25">
      <c r="J244" s="8"/>
      <c r="K244" s="8"/>
      <c r="L244" s="8"/>
      <c r="M244" s="8"/>
      <c r="N244" s="8"/>
      <c r="O244" s="8"/>
      <c r="P244" s="8"/>
    </row>
    <row r="245" spans="10:16" x14ac:dyDescent="0.25">
      <c r="J245" s="8"/>
      <c r="K245" s="8"/>
      <c r="L245" s="8"/>
      <c r="M245" s="8"/>
      <c r="N245" s="8"/>
      <c r="O245" s="8"/>
      <c r="P245" s="8"/>
    </row>
    <row r="246" spans="10:16" x14ac:dyDescent="0.25">
      <c r="J246" s="8"/>
      <c r="K246" s="8"/>
      <c r="L246" s="8"/>
      <c r="M246" s="8"/>
      <c r="N246" s="8"/>
      <c r="O246" s="8"/>
      <c r="P246" s="8"/>
    </row>
    <row r="247" spans="10:16" x14ac:dyDescent="0.25">
      <c r="J247" s="8"/>
      <c r="K247" s="8"/>
      <c r="L247" s="8"/>
      <c r="M247" s="8"/>
      <c r="N247" s="8"/>
      <c r="O247" s="8"/>
      <c r="P247" s="8"/>
    </row>
    <row r="248" spans="10:16" x14ac:dyDescent="0.25">
      <c r="J248" s="8"/>
      <c r="K248" s="8"/>
      <c r="L248" s="8"/>
      <c r="M248" s="8"/>
      <c r="N248" s="8"/>
      <c r="O248" s="8"/>
      <c r="P248" s="8"/>
    </row>
    <row r="249" spans="10:16" x14ac:dyDescent="0.25">
      <c r="J249" s="8"/>
      <c r="K249" s="8"/>
      <c r="L249" s="8"/>
      <c r="M249" s="8"/>
      <c r="N249" s="8"/>
      <c r="O249" s="8"/>
      <c r="P249" s="8"/>
    </row>
    <row r="250" spans="10:16" x14ac:dyDescent="0.25">
      <c r="J250" s="8"/>
      <c r="K250" s="8"/>
      <c r="L250" s="8"/>
      <c r="M250" s="8"/>
      <c r="N250" s="8"/>
      <c r="O250" s="8"/>
      <c r="P250" s="8"/>
    </row>
    <row r="251" spans="10:16" x14ac:dyDescent="0.25">
      <c r="J251" s="8"/>
      <c r="K251" s="8"/>
      <c r="L251" s="8"/>
      <c r="M251" s="8"/>
      <c r="N251" s="8"/>
      <c r="O251" s="8"/>
      <c r="P251" s="8"/>
    </row>
    <row r="252" spans="10:16" x14ac:dyDescent="0.25">
      <c r="J252" s="8"/>
      <c r="K252" s="8"/>
      <c r="L252" s="8"/>
      <c r="M252" s="8"/>
      <c r="N252" s="8"/>
      <c r="O252" s="8"/>
      <c r="P252" s="8"/>
    </row>
    <row r="253" spans="10:16" x14ac:dyDescent="0.25">
      <c r="J253" s="8"/>
      <c r="K253" s="8"/>
      <c r="L253" s="8"/>
      <c r="M253" s="8"/>
      <c r="N253" s="8"/>
      <c r="O253" s="8"/>
      <c r="P253" s="8"/>
    </row>
    <row r="254" spans="10:16" x14ac:dyDescent="0.25">
      <c r="J254" s="8"/>
      <c r="K254" s="8"/>
      <c r="L254" s="8"/>
      <c r="M254" s="8"/>
      <c r="N254" s="8"/>
      <c r="O254" s="8"/>
      <c r="P254" s="8"/>
    </row>
    <row r="255" spans="10:16" x14ac:dyDescent="0.25">
      <c r="J255" s="8"/>
      <c r="K255" s="8"/>
      <c r="L255" s="8"/>
      <c r="M255" s="8"/>
      <c r="N255" s="8"/>
      <c r="O255" s="8"/>
      <c r="P255" s="8"/>
    </row>
    <row r="256" spans="10:16" x14ac:dyDescent="0.25">
      <c r="J256" s="8"/>
      <c r="K256" s="8"/>
      <c r="L256" s="8"/>
      <c r="M256" s="8"/>
      <c r="N256" s="8"/>
      <c r="O256" s="8"/>
      <c r="P256" s="8"/>
    </row>
    <row r="257" spans="10:16" x14ac:dyDescent="0.25">
      <c r="J257" s="8"/>
      <c r="K257" s="8"/>
      <c r="L257" s="8"/>
      <c r="M257" s="8"/>
      <c r="N257" s="8"/>
      <c r="O257" s="8"/>
      <c r="P257" s="8"/>
    </row>
    <row r="258" spans="10:16" x14ac:dyDescent="0.25">
      <c r="J258" s="8"/>
      <c r="K258" s="8"/>
      <c r="L258" s="8"/>
      <c r="M258" s="8"/>
      <c r="N258" s="8"/>
      <c r="O258" s="8"/>
      <c r="P258" s="8"/>
    </row>
    <row r="259" spans="10:16" x14ac:dyDescent="0.25">
      <c r="J259" s="8"/>
      <c r="K259" s="8"/>
      <c r="L259" s="8"/>
      <c r="M259" s="8"/>
      <c r="N259" s="8"/>
      <c r="O259" s="8"/>
      <c r="P259" s="8"/>
    </row>
    <row r="260" spans="10:16" x14ac:dyDescent="0.25">
      <c r="J260" s="8"/>
      <c r="K260" s="8"/>
      <c r="L260" s="8"/>
      <c r="M260" s="8"/>
      <c r="N260" s="8"/>
      <c r="O260" s="8"/>
      <c r="P260" s="8"/>
    </row>
    <row r="261" spans="10:16" x14ac:dyDescent="0.25">
      <c r="J261" s="8"/>
      <c r="K261" s="8"/>
      <c r="L261" s="8"/>
      <c r="M261" s="8"/>
      <c r="N261" s="8"/>
      <c r="O261" s="8"/>
      <c r="P261" s="8"/>
    </row>
    <row r="262" spans="10:16" x14ac:dyDescent="0.25">
      <c r="J262" s="8"/>
      <c r="K262" s="8"/>
      <c r="L262" s="8"/>
      <c r="M262" s="8"/>
      <c r="N262" s="8"/>
      <c r="O262" s="8"/>
      <c r="P262" s="8"/>
    </row>
    <row r="263" spans="10:16" x14ac:dyDescent="0.25">
      <c r="J263" s="8"/>
      <c r="K263" s="8"/>
      <c r="L263" s="8"/>
      <c r="M263" s="8"/>
      <c r="N263" s="8"/>
      <c r="O263" s="8"/>
      <c r="P263" s="8"/>
    </row>
    <row r="264" spans="10:16" x14ac:dyDescent="0.25">
      <c r="J264" s="8"/>
      <c r="K264" s="8"/>
      <c r="L264" s="8"/>
      <c r="M264" s="8"/>
      <c r="N264" s="8"/>
      <c r="O264" s="8"/>
      <c r="P264" s="8"/>
    </row>
    <row r="265" spans="10:16" x14ac:dyDescent="0.25">
      <c r="J265" s="8"/>
      <c r="K265" s="8"/>
      <c r="L265" s="8"/>
      <c r="M265" s="8"/>
      <c r="N265" s="8"/>
      <c r="O265" s="8"/>
      <c r="P265" s="8"/>
    </row>
    <row r="266" spans="10:16" x14ac:dyDescent="0.25">
      <c r="J266" s="8"/>
      <c r="K266" s="8"/>
      <c r="L266" s="8"/>
      <c r="M266" s="8"/>
      <c r="N266" s="8"/>
      <c r="O266" s="8"/>
      <c r="P266" s="8"/>
    </row>
    <row r="267" spans="10:16" x14ac:dyDescent="0.25">
      <c r="J267" s="8"/>
      <c r="K267" s="8"/>
      <c r="L267" s="8"/>
      <c r="M267" s="8"/>
      <c r="N267" s="8"/>
      <c r="O267" s="8"/>
      <c r="P267" s="8"/>
    </row>
    <row r="268" spans="10:16" x14ac:dyDescent="0.25">
      <c r="J268" s="8"/>
      <c r="K268" s="8"/>
      <c r="L268" s="8"/>
      <c r="M268" s="8"/>
      <c r="N268" s="8"/>
      <c r="O268" s="8"/>
      <c r="P268" s="8"/>
    </row>
    <row r="269" spans="10:16" x14ac:dyDescent="0.25">
      <c r="J269" s="8"/>
      <c r="K269" s="8"/>
      <c r="L269" s="8"/>
      <c r="M269" s="8"/>
      <c r="N269" s="8"/>
      <c r="O269" s="8"/>
      <c r="P269" s="8"/>
    </row>
    <row r="270" spans="10:16" x14ac:dyDescent="0.25">
      <c r="J270" s="8"/>
      <c r="K270" s="8"/>
      <c r="L270" s="8"/>
      <c r="M270" s="8"/>
      <c r="N270" s="8"/>
      <c r="O270" s="8"/>
      <c r="P270" s="8"/>
    </row>
    <row r="271" spans="10:16" x14ac:dyDescent="0.25">
      <c r="J271" s="8"/>
      <c r="K271" s="8"/>
      <c r="L271" s="8"/>
      <c r="M271" s="8"/>
      <c r="N271" s="8"/>
      <c r="O271" s="8"/>
      <c r="P271" s="8"/>
    </row>
    <row r="272" spans="10:16" x14ac:dyDescent="0.25">
      <c r="J272" s="8"/>
      <c r="K272" s="8"/>
      <c r="L272" s="8"/>
      <c r="M272" s="8"/>
      <c r="N272" s="8"/>
      <c r="O272" s="8"/>
      <c r="P272" s="8"/>
    </row>
    <row r="273" spans="10:16" x14ac:dyDescent="0.25">
      <c r="J273" s="8"/>
      <c r="K273" s="8"/>
      <c r="L273" s="8"/>
      <c r="M273" s="8"/>
      <c r="N273" s="8"/>
      <c r="O273" s="8"/>
      <c r="P273" s="8"/>
    </row>
    <row r="274" spans="10:16" x14ac:dyDescent="0.25">
      <c r="J274" s="8"/>
      <c r="K274" s="8"/>
      <c r="L274" s="8"/>
      <c r="M274" s="8"/>
      <c r="N274" s="8"/>
      <c r="O274" s="8"/>
      <c r="P274" s="8"/>
    </row>
    <row r="275" spans="10:16" x14ac:dyDescent="0.25">
      <c r="J275" s="8"/>
      <c r="K275" s="8"/>
      <c r="L275" s="8"/>
      <c r="M275" s="8"/>
      <c r="N275" s="8"/>
      <c r="O275" s="8"/>
      <c r="P275" s="8"/>
    </row>
    <row r="276" spans="10:16" x14ac:dyDescent="0.25">
      <c r="J276" s="8"/>
      <c r="K276" s="8"/>
      <c r="L276" s="8"/>
      <c r="M276" s="8"/>
      <c r="N276" s="8"/>
      <c r="O276" s="8"/>
      <c r="P276" s="8"/>
    </row>
    <row r="277" spans="10:16" x14ac:dyDescent="0.25">
      <c r="J277" s="8"/>
      <c r="K277" s="8"/>
      <c r="L277" s="8"/>
      <c r="M277" s="8"/>
      <c r="N277" s="8"/>
      <c r="O277" s="8"/>
      <c r="P277" s="8"/>
    </row>
    <row r="278" spans="10:16" x14ac:dyDescent="0.25">
      <c r="J278" s="8"/>
      <c r="K278" s="8"/>
      <c r="L278" s="8"/>
      <c r="M278" s="8"/>
      <c r="N278" s="8"/>
      <c r="O278" s="8"/>
      <c r="P278" s="8"/>
    </row>
    <row r="279" spans="10:16" x14ac:dyDescent="0.25">
      <c r="J279" s="8"/>
      <c r="K279" s="8"/>
      <c r="L279" s="8"/>
      <c r="M279" s="8"/>
      <c r="N279" s="8"/>
      <c r="O279" s="8"/>
      <c r="P279" s="8"/>
    </row>
    <row r="280" spans="10:16" x14ac:dyDescent="0.25">
      <c r="J280" s="8"/>
      <c r="K280" s="8"/>
      <c r="L280" s="8"/>
      <c r="M280" s="8"/>
      <c r="N280" s="8"/>
      <c r="O280" s="8"/>
      <c r="P280" s="8"/>
    </row>
    <row r="281" spans="10:16" x14ac:dyDescent="0.25">
      <c r="J281" s="8"/>
      <c r="K281" s="8"/>
      <c r="L281" s="8"/>
      <c r="M281" s="8"/>
      <c r="N281" s="8"/>
      <c r="O281" s="8"/>
      <c r="P281" s="8"/>
    </row>
    <row r="282" spans="10:16" x14ac:dyDescent="0.25">
      <c r="J282" s="8"/>
      <c r="K282" s="8"/>
      <c r="L282" s="8"/>
      <c r="M282" s="8"/>
      <c r="N282" s="8"/>
      <c r="O282" s="8"/>
      <c r="P282" s="8"/>
    </row>
    <row r="283" spans="10:16" x14ac:dyDescent="0.25">
      <c r="J283" s="8"/>
      <c r="K283" s="8"/>
      <c r="L283" s="8"/>
      <c r="M283" s="8"/>
      <c r="N283" s="8"/>
      <c r="O283" s="8"/>
      <c r="P283" s="8"/>
    </row>
    <row r="284" spans="10:16" x14ac:dyDescent="0.25">
      <c r="J284" s="8"/>
      <c r="K284" s="8"/>
      <c r="L284" s="8"/>
      <c r="M284" s="8"/>
      <c r="N284" s="8"/>
      <c r="O284" s="8"/>
      <c r="P284" s="8"/>
    </row>
    <row r="285" spans="10:16" x14ac:dyDescent="0.25">
      <c r="J285" s="8"/>
      <c r="K285" s="8"/>
      <c r="L285" s="8"/>
      <c r="M285" s="8"/>
      <c r="N285" s="8"/>
      <c r="O285" s="8"/>
      <c r="P285" s="8"/>
    </row>
    <row r="286" spans="10:16" x14ac:dyDescent="0.25">
      <c r="J286" s="8"/>
      <c r="K286" s="8"/>
      <c r="L286" s="8"/>
      <c r="M286" s="8"/>
      <c r="N286" s="8"/>
      <c r="O286" s="8"/>
      <c r="P286" s="8"/>
    </row>
    <row r="287" spans="10:16" x14ac:dyDescent="0.25">
      <c r="J287" s="8"/>
      <c r="K287" s="8"/>
      <c r="L287" s="8"/>
      <c r="M287" s="8"/>
      <c r="N287" s="8"/>
      <c r="O287" s="8"/>
      <c r="P287" s="8"/>
    </row>
    <row r="288" spans="10:16" x14ac:dyDescent="0.25">
      <c r="J288" s="8"/>
      <c r="K288" s="8"/>
      <c r="L288" s="8"/>
      <c r="M288" s="8"/>
      <c r="N288" s="8"/>
      <c r="O288" s="8"/>
      <c r="P288" s="8"/>
    </row>
    <row r="289" spans="10:16" x14ac:dyDescent="0.25">
      <c r="J289" s="8"/>
      <c r="K289" s="8"/>
      <c r="L289" s="8"/>
      <c r="M289" s="8"/>
      <c r="N289" s="8"/>
      <c r="O289" s="8"/>
      <c r="P289" s="8"/>
    </row>
    <row r="290" spans="10:16" x14ac:dyDescent="0.25">
      <c r="J290" s="8"/>
      <c r="K290" s="8"/>
      <c r="L290" s="8"/>
      <c r="M290" s="8"/>
      <c r="N290" s="8"/>
      <c r="O290" s="8"/>
      <c r="P290" s="8"/>
    </row>
    <row r="291" spans="10:16" x14ac:dyDescent="0.25">
      <c r="J291" s="8"/>
      <c r="K291" s="8"/>
      <c r="L291" s="8"/>
      <c r="M291" s="8"/>
      <c r="N291" s="8"/>
      <c r="O291" s="8"/>
      <c r="P291" s="8"/>
    </row>
    <row r="292" spans="10:16" x14ac:dyDescent="0.25">
      <c r="J292" s="8"/>
      <c r="K292" s="8"/>
      <c r="L292" s="8"/>
      <c r="M292" s="8"/>
      <c r="N292" s="8"/>
      <c r="O292" s="8"/>
      <c r="P292" s="8"/>
    </row>
    <row r="293" spans="10:16" x14ac:dyDescent="0.25">
      <c r="J293" s="8"/>
      <c r="K293" s="8"/>
      <c r="L293" s="8"/>
      <c r="M293" s="8"/>
      <c r="N293" s="8"/>
      <c r="O293" s="8"/>
      <c r="P293" s="8"/>
    </row>
    <row r="294" spans="10:16" x14ac:dyDescent="0.25">
      <c r="J294" s="8"/>
      <c r="K294" s="8"/>
      <c r="L294" s="8"/>
      <c r="M294" s="8"/>
      <c r="N294" s="8"/>
      <c r="O294" s="8"/>
      <c r="P294" s="8"/>
    </row>
    <row r="295" spans="10:16" x14ac:dyDescent="0.25">
      <c r="J295" s="8"/>
      <c r="K295" s="8"/>
      <c r="L295" s="8"/>
      <c r="M295" s="8"/>
      <c r="N295" s="8"/>
      <c r="O295" s="8"/>
      <c r="P295" s="8"/>
    </row>
    <row r="296" spans="10:16" x14ac:dyDescent="0.25">
      <c r="J296" s="8"/>
      <c r="K296" s="8"/>
      <c r="L296" s="8"/>
      <c r="M296" s="8"/>
      <c r="N296" s="8"/>
      <c r="O296" s="8"/>
      <c r="P296" s="8"/>
    </row>
    <row r="297" spans="10:16" x14ac:dyDescent="0.25">
      <c r="J297" s="8"/>
      <c r="K297" s="8"/>
      <c r="L297" s="8"/>
      <c r="M297" s="8"/>
      <c r="N297" s="8"/>
      <c r="O297" s="8"/>
      <c r="P297" s="8"/>
    </row>
    <row r="298" spans="10:16" x14ac:dyDescent="0.25">
      <c r="J298" s="8"/>
      <c r="K298" s="8"/>
      <c r="L298" s="8"/>
      <c r="M298" s="8"/>
      <c r="N298" s="8"/>
      <c r="O298" s="8"/>
      <c r="P298" s="8"/>
    </row>
    <row r="299" spans="10:16" x14ac:dyDescent="0.25">
      <c r="J299" s="8"/>
      <c r="K299" s="8"/>
      <c r="L299" s="8"/>
      <c r="M299" s="8"/>
      <c r="N299" s="8"/>
      <c r="O299" s="8"/>
      <c r="P299" s="8"/>
    </row>
    <row r="300" spans="10:16" x14ac:dyDescent="0.25">
      <c r="J300" s="8"/>
      <c r="K300" s="8"/>
      <c r="L300" s="8"/>
      <c r="M300" s="8"/>
      <c r="N300" s="8"/>
      <c r="O300" s="8"/>
      <c r="P300" s="8"/>
    </row>
    <row r="301" spans="10:16" x14ac:dyDescent="0.25">
      <c r="J301" s="8"/>
      <c r="K301" s="8"/>
      <c r="L301" s="8"/>
      <c r="M301" s="8"/>
      <c r="N301" s="8"/>
      <c r="O301" s="8"/>
      <c r="P301" s="8"/>
    </row>
    <row r="302" spans="10:16" x14ac:dyDescent="0.25">
      <c r="J302" s="8"/>
      <c r="K302" s="8"/>
      <c r="L302" s="8"/>
      <c r="M302" s="8"/>
      <c r="N302" s="8"/>
      <c r="O302" s="8"/>
      <c r="P302" s="8"/>
    </row>
    <row r="303" spans="10:16" x14ac:dyDescent="0.25">
      <c r="J303" s="8"/>
      <c r="K303" s="8"/>
      <c r="L303" s="8"/>
      <c r="M303" s="8"/>
      <c r="N303" s="8"/>
      <c r="O303" s="8"/>
      <c r="P303" s="8"/>
    </row>
    <row r="304" spans="10:16" x14ac:dyDescent="0.25">
      <c r="J304" s="8"/>
      <c r="K304" s="8"/>
      <c r="L304" s="8"/>
      <c r="M304" s="8"/>
      <c r="N304" s="8"/>
      <c r="O304" s="8"/>
      <c r="P304" s="8"/>
    </row>
    <row r="305" spans="10:16" x14ac:dyDescent="0.25">
      <c r="J305" s="8"/>
      <c r="K305" s="8"/>
      <c r="L305" s="8"/>
      <c r="M305" s="8"/>
      <c r="N305" s="8"/>
      <c r="O305" s="8"/>
      <c r="P305" s="8"/>
    </row>
    <row r="306" spans="10:16" x14ac:dyDescent="0.25">
      <c r="J306" s="8"/>
      <c r="K306" s="8"/>
      <c r="L306" s="8"/>
      <c r="M306" s="8"/>
      <c r="N306" s="8"/>
      <c r="O306" s="8"/>
      <c r="P306" s="8"/>
    </row>
    <row r="307" spans="10:16" x14ac:dyDescent="0.25">
      <c r="J307" s="8"/>
      <c r="K307" s="8"/>
      <c r="L307" s="8"/>
      <c r="M307" s="8"/>
      <c r="N307" s="8"/>
      <c r="O307" s="8"/>
      <c r="P307" s="8"/>
    </row>
    <row r="308" spans="10:16" x14ac:dyDescent="0.25">
      <c r="J308" s="8"/>
      <c r="K308" s="8"/>
      <c r="L308" s="8"/>
      <c r="M308" s="8"/>
      <c r="N308" s="8"/>
      <c r="O308" s="8"/>
      <c r="P308" s="8"/>
    </row>
    <row r="309" spans="10:16" x14ac:dyDescent="0.25">
      <c r="J309" s="8"/>
      <c r="K309" s="8"/>
      <c r="L309" s="8"/>
      <c r="M309" s="8"/>
      <c r="N309" s="8"/>
      <c r="O309" s="8"/>
      <c r="P309" s="8"/>
    </row>
    <row r="310" spans="10:16" x14ac:dyDescent="0.25">
      <c r="J310" s="8"/>
      <c r="K310" s="8"/>
      <c r="L310" s="8"/>
      <c r="M310" s="8"/>
      <c r="N310" s="8"/>
      <c r="O310" s="8"/>
      <c r="P310" s="8"/>
    </row>
    <row r="311" spans="10:16" x14ac:dyDescent="0.25">
      <c r="J311" s="8"/>
      <c r="K311" s="8"/>
      <c r="L311" s="8"/>
      <c r="M311" s="8"/>
      <c r="N311" s="8"/>
      <c r="O311" s="8"/>
      <c r="P311" s="8"/>
    </row>
    <row r="312" spans="10:16" x14ac:dyDescent="0.25">
      <c r="J312" s="8"/>
      <c r="K312" s="8"/>
      <c r="L312" s="8"/>
      <c r="M312" s="8"/>
      <c r="N312" s="8"/>
      <c r="O312" s="8"/>
      <c r="P312" s="8"/>
    </row>
    <row r="313" spans="10:16" x14ac:dyDescent="0.25">
      <c r="J313" s="8"/>
      <c r="K313" s="8"/>
      <c r="L313" s="8"/>
      <c r="M313" s="8"/>
      <c r="N313" s="8"/>
      <c r="O313" s="8"/>
      <c r="P313" s="8"/>
    </row>
    <row r="314" spans="10:16" x14ac:dyDescent="0.25">
      <c r="J314" s="8"/>
      <c r="K314" s="8"/>
      <c r="L314" s="8"/>
      <c r="M314" s="8"/>
      <c r="N314" s="8"/>
      <c r="O314" s="8"/>
      <c r="P314" s="8"/>
    </row>
    <row r="315" spans="10:16" x14ac:dyDescent="0.25">
      <c r="J315" s="8"/>
      <c r="K315" s="8"/>
      <c r="L315" s="8"/>
      <c r="M315" s="8"/>
      <c r="N315" s="8"/>
      <c r="O315" s="8"/>
      <c r="P315" s="8"/>
    </row>
    <row r="316" spans="10:16" x14ac:dyDescent="0.25">
      <c r="J316" s="8"/>
      <c r="K316" s="8"/>
      <c r="L316" s="8"/>
      <c r="M316" s="8"/>
      <c r="N316" s="8"/>
      <c r="O316" s="8"/>
      <c r="P316" s="8"/>
    </row>
    <row r="317" spans="10:16" x14ac:dyDescent="0.25">
      <c r="J317" s="8"/>
      <c r="K317" s="8"/>
      <c r="L317" s="8"/>
      <c r="M317" s="8"/>
      <c r="N317" s="8"/>
      <c r="O317" s="8"/>
      <c r="P317" s="8"/>
    </row>
    <row r="318" spans="10:16" x14ac:dyDescent="0.25">
      <c r="J318" s="8"/>
      <c r="K318" s="8"/>
      <c r="L318" s="8"/>
      <c r="M318" s="8"/>
      <c r="N318" s="8"/>
      <c r="O318" s="8"/>
      <c r="P318" s="8"/>
    </row>
    <row r="319" spans="10:16" x14ac:dyDescent="0.25">
      <c r="J319" s="8"/>
      <c r="K319" s="8"/>
      <c r="L319" s="8"/>
      <c r="M319" s="8"/>
      <c r="N319" s="8"/>
      <c r="O319" s="8"/>
      <c r="P319" s="8"/>
    </row>
    <row r="320" spans="10:16" x14ac:dyDescent="0.25">
      <c r="J320" s="8"/>
      <c r="K320" s="8"/>
      <c r="L320" s="8"/>
      <c r="M320" s="8"/>
      <c r="N320" s="8"/>
      <c r="O320" s="8"/>
      <c r="P320" s="8"/>
    </row>
    <row r="321" spans="10:16" x14ac:dyDescent="0.25">
      <c r="J321" s="8"/>
      <c r="K321" s="8"/>
      <c r="L321" s="8"/>
      <c r="M321" s="8"/>
      <c r="N321" s="8"/>
      <c r="O321" s="8"/>
      <c r="P321" s="8"/>
    </row>
    <row r="322" spans="10:16" x14ac:dyDescent="0.25">
      <c r="J322" s="8"/>
      <c r="K322" s="8"/>
      <c r="L322" s="8"/>
      <c r="M322" s="8"/>
      <c r="N322" s="8"/>
      <c r="O322" s="8"/>
      <c r="P322" s="8"/>
    </row>
    <row r="323" spans="10:16" x14ac:dyDescent="0.25">
      <c r="J323" s="8"/>
      <c r="K323" s="8"/>
      <c r="L323" s="8"/>
      <c r="M323" s="8"/>
      <c r="N323" s="8"/>
      <c r="O323" s="8"/>
      <c r="P323" s="8"/>
    </row>
    <row r="324" spans="10:16" x14ac:dyDescent="0.25">
      <c r="J324" s="8"/>
      <c r="K324" s="8"/>
      <c r="L324" s="8"/>
      <c r="M324" s="8"/>
      <c r="N324" s="8"/>
      <c r="O324" s="8"/>
      <c r="P324" s="8"/>
    </row>
    <row r="325" spans="10:16" x14ac:dyDescent="0.25">
      <c r="J325" s="8"/>
      <c r="K325" s="8"/>
      <c r="L325" s="8"/>
      <c r="M325" s="8"/>
      <c r="N325" s="8"/>
      <c r="O325" s="8"/>
      <c r="P325" s="8"/>
    </row>
    <row r="326" spans="10:16" x14ac:dyDescent="0.25">
      <c r="J326" s="8"/>
      <c r="K326" s="8"/>
      <c r="L326" s="8"/>
      <c r="M326" s="8"/>
      <c r="N326" s="8"/>
      <c r="O326" s="8"/>
      <c r="P326" s="8"/>
    </row>
    <row r="327" spans="10:16" x14ac:dyDescent="0.25">
      <c r="J327" s="8"/>
      <c r="K327" s="8"/>
      <c r="L327" s="8"/>
      <c r="M327" s="8"/>
      <c r="N327" s="8"/>
      <c r="O327" s="8"/>
      <c r="P327" s="8"/>
    </row>
    <row r="328" spans="10:16" x14ac:dyDescent="0.25">
      <c r="J328" s="8"/>
      <c r="K328" s="8"/>
      <c r="L328" s="8"/>
      <c r="M328" s="8"/>
      <c r="N328" s="8"/>
      <c r="O328" s="8"/>
      <c r="P328" s="8"/>
    </row>
    <row r="329" spans="10:16" x14ac:dyDescent="0.25">
      <c r="J329" s="8"/>
      <c r="K329" s="8"/>
      <c r="L329" s="8"/>
      <c r="M329" s="8"/>
      <c r="N329" s="8"/>
      <c r="O329" s="8"/>
      <c r="P329" s="8"/>
    </row>
    <row r="330" spans="10:16" x14ac:dyDescent="0.25">
      <c r="J330" s="8"/>
      <c r="K330" s="8"/>
      <c r="L330" s="8"/>
      <c r="M330" s="8"/>
      <c r="N330" s="8"/>
      <c r="O330" s="8"/>
      <c r="P330" s="8"/>
    </row>
    <row r="331" spans="10:16" x14ac:dyDescent="0.25">
      <c r="J331" s="8"/>
      <c r="K331" s="8"/>
      <c r="L331" s="8"/>
      <c r="M331" s="8"/>
      <c r="N331" s="8"/>
      <c r="O331" s="8"/>
      <c r="P331" s="8"/>
    </row>
    <row r="332" spans="10:16" x14ac:dyDescent="0.25">
      <c r="J332" s="8"/>
      <c r="K332" s="8"/>
      <c r="L332" s="8"/>
      <c r="M332" s="8"/>
      <c r="N332" s="8"/>
      <c r="O332" s="8"/>
      <c r="P332" s="8"/>
    </row>
    <row r="333" spans="10:16" x14ac:dyDescent="0.25">
      <c r="J333" s="8"/>
      <c r="K333" s="8"/>
      <c r="L333" s="8"/>
      <c r="M333" s="8"/>
      <c r="N333" s="8"/>
      <c r="O333" s="8"/>
      <c r="P333" s="8"/>
    </row>
    <row r="334" spans="10:16" x14ac:dyDescent="0.25">
      <c r="J334" s="8"/>
      <c r="K334" s="8"/>
      <c r="L334" s="8"/>
      <c r="M334" s="8"/>
      <c r="N334" s="8"/>
      <c r="O334" s="8"/>
      <c r="P334" s="8"/>
    </row>
    <row r="335" spans="10:16" x14ac:dyDescent="0.25">
      <c r="J335" s="8"/>
      <c r="K335" s="8"/>
      <c r="L335" s="8"/>
      <c r="M335" s="8"/>
      <c r="N335" s="8"/>
      <c r="O335" s="8"/>
      <c r="P335" s="8"/>
    </row>
    <row r="336" spans="10:16" x14ac:dyDescent="0.25">
      <c r="J336" s="8"/>
      <c r="K336" s="8"/>
      <c r="L336" s="8"/>
      <c r="M336" s="8"/>
      <c r="N336" s="8"/>
      <c r="O336" s="8"/>
      <c r="P336" s="8"/>
    </row>
    <row r="337" spans="10:16" x14ac:dyDescent="0.25">
      <c r="J337" s="8"/>
      <c r="K337" s="8"/>
      <c r="L337" s="8"/>
      <c r="M337" s="8"/>
      <c r="N337" s="8"/>
      <c r="O337" s="8"/>
      <c r="P337" s="8"/>
    </row>
    <row r="338" spans="10:16" x14ac:dyDescent="0.25">
      <c r="J338" s="8"/>
      <c r="K338" s="8"/>
      <c r="L338" s="8"/>
      <c r="M338" s="8"/>
      <c r="N338" s="8"/>
      <c r="O338" s="8"/>
      <c r="P338" s="8"/>
    </row>
    <row r="339" spans="10:16" x14ac:dyDescent="0.25">
      <c r="J339" s="8"/>
      <c r="K339" s="8"/>
      <c r="L339" s="8"/>
      <c r="M339" s="8"/>
      <c r="N339" s="8"/>
      <c r="O339" s="8"/>
      <c r="P339" s="8"/>
    </row>
    <row r="340" spans="10:16" x14ac:dyDescent="0.25">
      <c r="J340" s="8"/>
      <c r="K340" s="8"/>
      <c r="L340" s="8"/>
      <c r="M340" s="8"/>
      <c r="N340" s="8"/>
      <c r="O340" s="8"/>
      <c r="P340" s="8"/>
    </row>
    <row r="341" spans="10:16" x14ac:dyDescent="0.25">
      <c r="J341" s="8"/>
      <c r="K341" s="8"/>
      <c r="L341" s="8"/>
      <c r="M341" s="8"/>
      <c r="N341" s="8"/>
      <c r="O341" s="8"/>
      <c r="P341" s="8"/>
    </row>
    <row r="342" spans="10:16" x14ac:dyDescent="0.25">
      <c r="J342" s="8"/>
      <c r="K342" s="8"/>
      <c r="L342" s="8"/>
      <c r="M342" s="8"/>
      <c r="N342" s="8"/>
      <c r="O342" s="8"/>
      <c r="P342" s="8"/>
    </row>
    <row r="343" spans="10:16" x14ac:dyDescent="0.25">
      <c r="J343" s="8"/>
      <c r="K343" s="8"/>
      <c r="L343" s="8"/>
      <c r="M343" s="8"/>
      <c r="N343" s="8"/>
      <c r="O343" s="8"/>
      <c r="P343" s="8"/>
    </row>
    <row r="344" spans="10:16" x14ac:dyDescent="0.25">
      <c r="J344" s="8"/>
      <c r="K344" s="8"/>
      <c r="L344" s="8"/>
      <c r="M344" s="8"/>
      <c r="N344" s="8"/>
      <c r="O344" s="8"/>
      <c r="P344" s="8"/>
    </row>
    <row r="345" spans="10:16" x14ac:dyDescent="0.25">
      <c r="J345" s="8"/>
      <c r="K345" s="8"/>
      <c r="L345" s="8"/>
      <c r="M345" s="8"/>
      <c r="N345" s="8"/>
      <c r="O345" s="8"/>
      <c r="P345" s="8"/>
    </row>
    <row r="346" spans="10:16" x14ac:dyDescent="0.25">
      <c r="J346" s="8"/>
      <c r="K346" s="8"/>
      <c r="L346" s="8"/>
      <c r="M346" s="8"/>
      <c r="N346" s="8"/>
      <c r="O346" s="8"/>
      <c r="P346" s="8"/>
    </row>
    <row r="347" spans="10:16" x14ac:dyDescent="0.25">
      <c r="J347" s="8"/>
      <c r="K347" s="8"/>
      <c r="L347" s="8"/>
      <c r="M347" s="8"/>
      <c r="N347" s="8"/>
      <c r="O347" s="8"/>
      <c r="P347" s="8"/>
    </row>
    <row r="348" spans="10:16" x14ac:dyDescent="0.25">
      <c r="J348" s="8"/>
      <c r="K348" s="8"/>
      <c r="L348" s="8"/>
      <c r="M348" s="8"/>
      <c r="N348" s="8"/>
      <c r="O348" s="8"/>
      <c r="P348" s="8"/>
    </row>
    <row r="349" spans="10:16" x14ac:dyDescent="0.25">
      <c r="J349" s="8"/>
      <c r="K349" s="8"/>
      <c r="L349" s="8"/>
      <c r="M349" s="8"/>
      <c r="N349" s="8"/>
      <c r="O349" s="8"/>
      <c r="P349" s="8"/>
    </row>
    <row r="350" spans="10:16" x14ac:dyDescent="0.25">
      <c r="J350" s="8"/>
      <c r="K350" s="8"/>
      <c r="L350" s="8"/>
      <c r="M350" s="8"/>
      <c r="N350" s="8"/>
      <c r="O350" s="8"/>
      <c r="P350" s="8"/>
    </row>
    <row r="351" spans="10:16" x14ac:dyDescent="0.25">
      <c r="J351" s="8"/>
      <c r="K351" s="8"/>
      <c r="L351" s="8"/>
      <c r="M351" s="8"/>
      <c r="N351" s="8"/>
      <c r="O351" s="8"/>
      <c r="P351" s="8"/>
    </row>
    <row r="352" spans="10:16" x14ac:dyDescent="0.25">
      <c r="J352" s="8"/>
      <c r="K352" s="8"/>
      <c r="L352" s="8"/>
      <c r="M352" s="8"/>
      <c r="N352" s="8"/>
      <c r="O352" s="8"/>
      <c r="P352" s="8"/>
    </row>
    <row r="353" spans="10:16" x14ac:dyDescent="0.25">
      <c r="J353" s="8"/>
      <c r="K353" s="8"/>
      <c r="L353" s="8"/>
      <c r="M353" s="8"/>
      <c r="N353" s="8"/>
      <c r="O353" s="8"/>
      <c r="P353" s="8"/>
    </row>
    <row r="354" spans="10:16" x14ac:dyDescent="0.25">
      <c r="J354" s="8"/>
      <c r="K354" s="8"/>
      <c r="L354" s="8"/>
      <c r="M354" s="8"/>
      <c r="N354" s="8"/>
      <c r="O354" s="8"/>
      <c r="P354" s="8"/>
    </row>
    <row r="355" spans="10:16" x14ac:dyDescent="0.25">
      <c r="J355" s="8"/>
      <c r="K355" s="8"/>
      <c r="L355" s="8"/>
      <c r="M355" s="8"/>
      <c r="N355" s="8"/>
      <c r="O355" s="8"/>
      <c r="P355" s="8"/>
    </row>
    <row r="356" spans="10:16" x14ac:dyDescent="0.25">
      <c r="J356" s="8"/>
      <c r="K356" s="8"/>
      <c r="L356" s="8"/>
      <c r="M356" s="8"/>
      <c r="N356" s="8"/>
      <c r="O356" s="8"/>
      <c r="P356" s="8"/>
    </row>
    <row r="357" spans="10:16" x14ac:dyDescent="0.25">
      <c r="J357" s="8"/>
      <c r="K357" s="8"/>
      <c r="L357" s="8"/>
      <c r="M357" s="8"/>
      <c r="N357" s="8"/>
      <c r="O357" s="8"/>
      <c r="P357" s="8"/>
    </row>
    <row r="358" spans="10:16" x14ac:dyDescent="0.25">
      <c r="J358" s="8"/>
      <c r="K358" s="8"/>
      <c r="L358" s="8"/>
      <c r="M358" s="8"/>
      <c r="N358" s="8"/>
      <c r="O358" s="8"/>
      <c r="P358" s="8"/>
    </row>
    <row r="359" spans="10:16" x14ac:dyDescent="0.25">
      <c r="J359" s="8"/>
      <c r="K359" s="8"/>
      <c r="L359" s="8"/>
      <c r="M359" s="8"/>
      <c r="N359" s="8"/>
      <c r="O359" s="8"/>
      <c r="P359" s="8"/>
    </row>
    <row r="360" spans="10:16" x14ac:dyDescent="0.25">
      <c r="J360" s="8"/>
      <c r="K360" s="8"/>
      <c r="L360" s="8"/>
      <c r="M360" s="8"/>
      <c r="N360" s="8"/>
      <c r="O360" s="8"/>
      <c r="P360" s="8"/>
    </row>
    <row r="361" spans="10:16" x14ac:dyDescent="0.25">
      <c r="J361" s="8"/>
      <c r="K361" s="8"/>
      <c r="L361" s="8"/>
      <c r="M361" s="8"/>
      <c r="N361" s="8"/>
      <c r="O361" s="8"/>
      <c r="P361" s="8"/>
    </row>
  </sheetData>
  <mergeCells count="8">
    <mergeCell ref="B149:D150"/>
    <mergeCell ref="B153:D164"/>
    <mergeCell ref="B8:D18"/>
    <mergeCell ref="B31:D33"/>
    <mergeCell ref="B36:D44"/>
    <mergeCell ref="B47:D48"/>
    <mergeCell ref="B109:D122"/>
    <mergeCell ref="B125:D146"/>
  </mergeCells>
  <conditionalFormatting sqref="E31:E34">
    <cfRule type="duplicateValues" dxfId="5" priority="6"/>
  </conditionalFormatting>
  <conditionalFormatting sqref="E69:E79">
    <cfRule type="duplicateValues" dxfId="4" priority="1"/>
  </conditionalFormatting>
  <conditionalFormatting sqref="E81:E86 E58:E60 E110:E114 E21:E23 E92:E96 E88:E90 E62:E67 E25:E29">
    <cfRule type="duplicateValues" dxfId="3" priority="5"/>
  </conditionalFormatting>
  <conditionalFormatting sqref="E116:E130 E8:E19">
    <cfRule type="duplicateValues" dxfId="2" priority="3"/>
  </conditionalFormatting>
  <conditionalFormatting sqref="E132:E154">
    <cfRule type="duplicateValues" dxfId="1" priority="2"/>
  </conditionalFormatting>
  <conditionalFormatting sqref="E167:E180 E36:E45 E98:E109 E51:E56 E47:E49 E156:E165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 de Ouros Embalagens</dc:creator>
  <cp:lastModifiedBy>Dama de Ouros Embalagens</cp:lastModifiedBy>
  <dcterms:created xsi:type="dcterms:W3CDTF">2026-06-11T13:05:12Z</dcterms:created>
  <dcterms:modified xsi:type="dcterms:W3CDTF">2026-07-13T12:21:08Z</dcterms:modified>
</cp:coreProperties>
</file>